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계산서" state="visible" r:id="rId4"/>
    <sheet sheetId="2" name="M-N 곡선" state="visible" r:id="rId5"/>
    <sheet sheetId="3" name="보 해석" state="visible" r:id="rId6"/>
    <sheet sheetId="4" name="3D 해석" state="visible" r:id="rId7"/>
  </sheets>
  <calcPr calcId="171027" fullCalcOnLoad="1"/>
</workbook>
</file>

<file path=xl/sharedStrings.xml><?xml version="1.0" encoding="utf-8"?>
<sst xmlns="http://schemas.openxmlformats.org/spreadsheetml/2006/main" count="541" uniqueCount="340">
  <si>
    <t>RC 단면 내력 계산서</t>
  </si>
  <si>
    <t>土木学会 コンクリート標準示方書 · 값 열은 엑셀 수식이라 셀을 누르면 계산 근거가 보여요</t>
  </si>
  <si>
    <t>2026-10-12</t>
  </si>
  <si>
    <t>1. 입력값</t>
  </si>
  <si>
    <t>항목</t>
  </si>
  <si>
    <t>기호</t>
  </si>
  <si>
    <t>값</t>
  </si>
  <si>
    <t>단위</t>
  </si>
  <si>
    <t>식 · 비고</t>
  </si>
  <si>
    <t>웨브 폭 bw</t>
  </si>
  <si>
    <t>b</t>
  </si>
  <si>
    <t>mm</t>
  </si>
  <si>
    <t/>
  </si>
  <si>
    <t>높이 h</t>
  </si>
  <si>
    <t>h</t>
  </si>
  <si>
    <t>유효깊이 d</t>
  </si>
  <si>
    <t>d</t>
  </si>
  <si>
    <t>플랜지 폭 bf</t>
  </si>
  <si>
    <t>bf</t>
  </si>
  <si>
    <t>플랜지 두께 hf</t>
  </si>
  <si>
    <t>hf</t>
  </si>
  <si>
    <t>f′ck 설계기준강도</t>
  </si>
  <si>
    <t>fc</t>
  </si>
  <si>
    <t>N/mm²</t>
  </si>
  <si>
    <t>fyk 주근 항복</t>
  </si>
  <si>
    <t>fy</t>
  </si>
  <si>
    <t>Es 탄성계수</t>
  </si>
  <si>
    <t>Es</t>
  </si>
  <si>
    <t>γc 콘크리트</t>
  </si>
  <si>
    <t>gc</t>
  </si>
  <si>
    <t>γs 철근</t>
  </si>
  <si>
    <t>gs</t>
  </si>
  <si>
    <t>γb 휨·M-N</t>
  </si>
  <si>
    <t>gbM</t>
  </si>
  <si>
    <t>γb Vcd</t>
  </si>
  <si>
    <t>gbC</t>
  </si>
  <si>
    <t>γb Vsd</t>
  </si>
  <si>
    <t>gbS</t>
  </si>
  <si>
    <t>γb 중심축 압축</t>
  </si>
  <si>
    <t>gbN</t>
  </si>
  <si>
    <t>인장철근 공칭단면적 (mm²/본)</t>
  </si>
  <si>
    <t>As_a</t>
  </si>
  <si>
    <t>mm²</t>
  </si>
  <si>
    <t>인장철근 본수</t>
  </si>
  <si>
    <t>As_n</t>
  </si>
  <si>
    <t>압축철근 공칭단면적 (mm²/본)</t>
  </si>
  <si>
    <t>Asc_a</t>
  </si>
  <si>
    <t>압축철근 본수</t>
  </si>
  <si>
    <t>Asc_n</t>
  </si>
  <si>
    <t>d′ 압축철근 깊이</t>
  </si>
  <si>
    <t>dc</t>
  </si>
  <si>
    <t>스터럽 공칭단면적 (mm²/본)</t>
  </si>
  <si>
    <t>Aw_a</t>
  </si>
  <si>
    <t>스터럽 다리 수 (1조)</t>
  </si>
  <si>
    <t>Aw_n</t>
  </si>
  <si>
    <t>s 스터럽 간격</t>
  </si>
  <si>
    <t>s</t>
  </si>
  <si>
    <t>fwyk 스터럽 항복</t>
  </si>
  <si>
    <t>fwy</t>
  </si>
  <si>
    <t>γi 구조물계수</t>
  </si>
  <si>
    <t>gi</t>
  </si>
  <si>
    <t>Md (kN·m, 정 + / 부 −)</t>
  </si>
  <si>
    <t>Md</t>
  </si>
  <si>
    <t>kN·m</t>
  </si>
  <si>
    <t>N′d (kN, 압축 +)</t>
  </si>
  <si>
    <t>Nd</t>
  </si>
  <si>
    <t>kN</t>
  </si>
  <si>
    <t>Vd (kN)</t>
  </si>
  <si>
    <t>Vd</t>
  </si>
  <si>
    <t>2. 설계강도 (재료계수)</t>
  </si>
  <si>
    <t>f′cd = f′ck/γc</t>
  </si>
  <si>
    <t>fcd</t>
  </si>
  <si>
    <t>= fc/gc</t>
  </si>
  <si>
    <t>fyd = fyk/γs</t>
  </si>
  <si>
    <t>fyd</t>
  </si>
  <si>
    <t>= fy/gs</t>
  </si>
  <si>
    <t>fwyd = fwyk/γs</t>
  </si>
  <si>
    <t>fwyd</t>
  </si>
  <si>
    <t>= fwy/gs</t>
  </si>
  <si>
    <t>3. 등가응력블록 계수·유효 단면</t>
  </si>
  <si>
    <t>k1 = 1 − 0.003 f′ck ≤ 0.85</t>
  </si>
  <si>
    <t>k1</t>
  </si>
  <si>
    <t>= MIN(0.85,1-0.003*fc)</t>
  </si>
  <si>
    <t>ε′cu = (155 − f′ck)/30000 (0.0025~0.0035)</t>
  </si>
  <si>
    <t>ecu</t>
  </si>
  <si>
    <t>= MIN(0.0035,MAX(0.0025,(155-fc)/30000))</t>
  </si>
  <si>
    <t>β = 0.52 + 80 ε′cu</t>
  </si>
  <si>
    <t>beta</t>
  </si>
  <si>
    <t>= 0.52+80*ecu</t>
  </si>
  <si>
    <t>유효 플랜지 폭</t>
  </si>
  <si>
    <t>bfe</t>
  </si>
  <si>
    <t>= IF(hf&gt;0,MAX(bf,b),b)</t>
  </si>
  <si>
    <t>유효 플랜지 두께</t>
  </si>
  <si>
    <t>hfe</t>
  </si>
  <si>
    <t>= IF(hf&gt;0,MIN(hf,h),0)</t>
  </si>
  <si>
    <t>4. 철근량 (공칭단면적 × 본수)</t>
  </si>
  <si>
    <t>As 인장철근 합계 (mm²)</t>
  </si>
  <si>
    <t>As</t>
  </si>
  <si>
    <t>= As_a*As_n</t>
  </si>
  <si>
    <t>As′ 압축철근 합계 (mm²)</t>
  </si>
  <si>
    <t>Asc</t>
  </si>
  <si>
    <t>= Asc_a*Asc_n</t>
  </si>
  <si>
    <t>Aw 스터럽 1조 합계 (mm²)</t>
  </si>
  <si>
    <t>Aw</t>
  </si>
  <si>
    <t>= Aw_a*Aw_n</t>
  </si>
  <si>
    <t>5. 휨 내력 — 정모멘트 (상연 압축)</t>
  </si>
  <si>
    <t>중립축 깊이 x</t>
  </si>
  <si>
    <t>x</t>
  </si>
  <si>
    <t>평형 C′c + C′s − T = 0 을 만족하도록 이분법으로 구한 값 (프로그램)</t>
  </si>
  <si>
    <t>응력블록 깊이 βx</t>
  </si>
  <si>
    <t>a</t>
  </si>
  <si>
    <t>= MIN(beta*x,h)</t>
  </si>
  <si>
    <t>응력블록이 플랜지 돌출부와 겹치는 깊이</t>
  </si>
  <si>
    <t>ov</t>
  </si>
  <si>
    <t>= MAX(0,MIN(a,hfe)-0)</t>
  </si>
  <si>
    <t>웨브 블록 면적</t>
  </si>
  <si>
    <t>A1</t>
  </si>
  <si>
    <t>= b*a</t>
  </si>
  <si>
    <t>플랜지 돌출부 블록 면적</t>
  </si>
  <si>
    <t>A2</t>
  </si>
  <si>
    <t>= (bfe-b)*ov</t>
  </si>
  <si>
    <t>콘크리트 압축력 C′c = k1·f′cd·(A1 + A2)</t>
  </si>
  <si>
    <t>Cc</t>
  </si>
  <si>
    <t>N</t>
  </si>
  <si>
    <t>= k1*fcd*(A1+A2)</t>
  </si>
  <si>
    <t>압축력 작용점 깊이 yc</t>
  </si>
  <si>
    <t>yc</t>
  </si>
  <si>
    <t>= IF(A1+A2&gt;0,(A1*a/2+A2*(0+ov/2))/(A1+A2),0)</t>
  </si>
  <si>
    <t>인장철근 변형률 εs = ε′cu·(d − x)/x</t>
  </si>
  <si>
    <t>es</t>
  </si>
  <si>
    <t>= ecu*(d-x)/x</t>
  </si>
  <si>
    <t>압축철근 변형률 ε′s = ε′cu·(x − d′)/x</t>
  </si>
  <si>
    <t>esc</t>
  </si>
  <si>
    <t>= ecu*(x-dc)/x</t>
  </si>
  <si>
    <t>인장철근 응력 (±fyd 제한)</t>
  </si>
  <si>
    <t>ss</t>
  </si>
  <si>
    <t>= MAX(-fyd,MIN(fyd,Es*es))</t>
  </si>
  <si>
    <t>압축철근 응력 (±fyd 제한)</t>
  </si>
  <si>
    <t>ssc</t>
  </si>
  <si>
    <t>= MAX(-fyd,MIN(fyd,Es*esc))</t>
  </si>
  <si>
    <t>인장철근력 T = As·σs</t>
  </si>
  <si>
    <t>T</t>
  </si>
  <si>
    <t>= As*ss</t>
  </si>
  <si>
    <t>압축철근력 C′s = As′·σ′s</t>
  </si>
  <si>
    <t>Cs</t>
  </si>
  <si>
    <t>= Asc*ssc</t>
  </si>
  <si>
    <t>평형 검산 C′c + C′s − T</t>
  </si>
  <si>
    <t>eq</t>
  </si>
  <si>
    <t>평형 검산 · 0에 가까워야 함</t>
  </si>
  <si>
    <t>휨 내력 (부재계수 전) Mu = (T·d − C′c·yc − C′s·d′)/10⁶</t>
  </si>
  <si>
    <t>Mu</t>
  </si>
  <si>
    <t>= (T*d-Cc*yc-Cs*dc)/1000000</t>
  </si>
  <si>
    <t>설계 휨 내력 Mud = Mu/γb</t>
  </si>
  <si>
    <t>Mud</t>
  </si>
  <si>
    <t>= Mu/gbM</t>
  </si>
  <si>
    <t>6. 휨 내력 — 부모멘트 (하연 압축, 단면을 뒤집어 계산)</t>
  </si>
  <si>
    <t>인장철근 깊이 (압축연 기준) = h − d′</t>
  </si>
  <si>
    <t>tdn</t>
  </si>
  <si>
    <t>= h-dc</t>
  </si>
  <si>
    <t>압축철근 깊이 (압축연 기준) = h − d</t>
  </si>
  <si>
    <t>cdn</t>
  </si>
  <si>
    <t>= h-d</t>
  </si>
  <si>
    <t>x_n</t>
  </si>
  <si>
    <t>a_n</t>
  </si>
  <si>
    <t>= MIN(beta*x_n,h)</t>
  </si>
  <si>
    <t>ov_n</t>
  </si>
  <si>
    <t>= MAX(0,MIN(a_n,h)-(h-hfe))</t>
  </si>
  <si>
    <t>A1_n</t>
  </si>
  <si>
    <t>= b*a_n</t>
  </si>
  <si>
    <t>A2_n</t>
  </si>
  <si>
    <t>= (bfe-b)*ov_n</t>
  </si>
  <si>
    <t>Cc_n</t>
  </si>
  <si>
    <t>= k1*fcd*(A1_n+A2_n)</t>
  </si>
  <si>
    <t>yc_n</t>
  </si>
  <si>
    <t>= IF(A1_n+A2_n&gt;0,(A1_n*a_n/2+A2_n*((h-hfe)+ov_n/2))/(A1_n+A2_n),0)</t>
  </si>
  <si>
    <t>es_n</t>
  </si>
  <si>
    <t>= ecu*(tdn-x_n)/x_n</t>
  </si>
  <si>
    <t>esc_n</t>
  </si>
  <si>
    <t>= ecu*(x_n-cdn)/x_n</t>
  </si>
  <si>
    <t>ss_n</t>
  </si>
  <si>
    <t>= MAX(-fyd,MIN(fyd,Es*es_n))</t>
  </si>
  <si>
    <t>ssc_n</t>
  </si>
  <si>
    <t>= MAX(-fyd,MIN(fyd,Es*esc_n))</t>
  </si>
  <si>
    <t>T_n</t>
  </si>
  <si>
    <t>= Asc*ss_n</t>
  </si>
  <si>
    <t>Cs_n</t>
  </si>
  <si>
    <t>= As*ssc_n</t>
  </si>
  <si>
    <t>eq_n</t>
  </si>
  <si>
    <t>Mu_n</t>
  </si>
  <si>
    <t>= (T_n*tdn-Cc_n*yc_n-Cs_n*cdn)/1000000</t>
  </si>
  <si>
    <t>Mud_n</t>
  </si>
  <si>
    <t>= Mu_n/gbM</t>
  </si>
  <si>
    <t>7. 전단 내력 (축력 없음, βn = 1)</t>
  </si>
  <si>
    <t>정모멘트</t>
  </si>
  <si>
    <t>인장철근비 pw = As/(bw·d)</t>
  </si>
  <si>
    <t>pw</t>
  </si>
  <si>
    <t>= As/(b*d)</t>
  </si>
  <si>
    <t>βd = (1000/d)^¼ ≤ 1.5</t>
  </si>
  <si>
    <t>bd</t>
  </si>
  <si>
    <t>= MIN(1.5,(1000/d)^0.25)</t>
  </si>
  <si>
    <t>βp = (100·pw)^⅓ ≤ 1.5</t>
  </si>
  <si>
    <t>bp</t>
  </si>
  <si>
    <t>= MIN(1.5,(100*pw)^(1/3))</t>
  </si>
  <si>
    <t>fvcd = 0.20·f′cd^⅓ ≤ 0.72</t>
  </si>
  <si>
    <t>fvc</t>
  </si>
  <si>
    <t>= MIN(0.72,0.2*fcd^(1/3))</t>
  </si>
  <si>
    <t>설계 전단 내력 (콘크리트) Vcd = βd·βp·fvcd·bw·d/γb</t>
  </si>
  <si>
    <t>Vc</t>
  </si>
  <si>
    <t>= bd*bp*fvc*b*d/1000/gbC</t>
  </si>
  <si>
    <t>팔길이 z = d/1.15</t>
  </si>
  <si>
    <t>z</t>
  </si>
  <si>
    <t>= d/1.15</t>
  </si>
  <si>
    <t>설계 전단 내력 (스터럽) Vsd = Aw·fwyd·z/s/γb</t>
  </si>
  <si>
    <t>Vs</t>
  </si>
  <si>
    <t>= IF(s&gt;0,Aw*fwyd*z/s/1000/gbS,0)</t>
  </si>
  <si>
    <t>설계 전단 내력 합계 Vyd = Vcd + Vsd</t>
  </si>
  <si>
    <t>Vy</t>
  </si>
  <si>
    <t>= Vc+Vs</t>
  </si>
  <si>
    <t>부모멘트</t>
  </si>
  <si>
    <t>pw_n</t>
  </si>
  <si>
    <t>= Asc/(b*tdn)</t>
  </si>
  <si>
    <t>bd_n</t>
  </si>
  <si>
    <t>= MIN(1.5,(1000/tdn)^0.25)</t>
  </si>
  <si>
    <t>bp_n</t>
  </si>
  <si>
    <t>= MIN(1.5,(100*pw_n)^(1/3))</t>
  </si>
  <si>
    <t>fvc_n</t>
  </si>
  <si>
    <t>Vc_n</t>
  </si>
  <si>
    <t>= bd_n*bp_n*fvc_n*b*tdn/1000/gbC</t>
  </si>
  <si>
    <t>z_n</t>
  </si>
  <si>
    <t>= tdn/1.15</t>
  </si>
  <si>
    <t>Vs_n</t>
  </si>
  <si>
    <t>= IF(s&gt;0,Aw*fwyd*z_n/s/1000/gbS,0)</t>
  </si>
  <si>
    <t>Vy_n</t>
  </si>
  <si>
    <t>= Vc_n+Vs_n</t>
  </si>
  <si>
    <t>8. 중심축 압축 내력</t>
  </si>
  <si>
    <t>총단면적 Ac = bw·h + (bf − bw)·hf</t>
  </si>
  <si>
    <t>Ac</t>
  </si>
  <si>
    <t>= b*h+(bfe-b)*hfe</t>
  </si>
  <si>
    <t>설계 중심축 압축 내력 N′oud = (k1·f′cd·Ac + (As + As′)·fyd)/γb</t>
  </si>
  <si>
    <t>Nu</t>
  </si>
  <si>
    <t>= (k1*fcd*Ac+(As+Asc)*fyd)/1000/gbN</t>
  </si>
  <si>
    <t>9. 설계하중 판정 (γi·Sd/Rd ≤ 1.0)</t>
  </si>
  <si>
    <t>γi·Md</t>
  </si>
  <si>
    <t>gM</t>
  </si>
  <si>
    <t>= gi*Md</t>
  </si>
  <si>
    <t>γi·N′d</t>
  </si>
  <si>
    <t>gN</t>
  </si>
  <si>
    <t>= gi*Nd</t>
  </si>
  <si>
    <t>교점 Mud</t>
  </si>
  <si>
    <t>iM</t>
  </si>
  <si>
    <t>원점–설계점 직선과 M-N 곡선의 교점 (프로그램)</t>
  </si>
  <si>
    <t>교점 N′ud</t>
  </si>
  <si>
    <t>iN</t>
  </si>
  <si>
    <t>판정비 (휨+축력) = |γi·Sd| / |Rd|</t>
  </si>
  <si>
    <t>rMN</t>
  </si>
  <si>
    <t>= SQRT(gM^2+gN^2)/SQRT(iM^2+iN^2)</t>
  </si>
  <si>
    <t>판정</t>
  </si>
  <si>
    <t>jMN</t>
  </si>
  <si>
    <t>= IF(rMN&lt;=1,"OK","NG")</t>
  </si>
  <si>
    <t>Md 부호 쪽 설계 휨 내력</t>
  </si>
  <si>
    <t>MudS</t>
  </si>
  <si>
    <t>= IF(Md&lt;0,Mud_n,Mud)</t>
  </si>
  <si>
    <t>감압 모멘트 M0 = N′d·h/6</t>
  </si>
  <si>
    <t>M0</t>
  </si>
  <si>
    <t>= Nd*h/6/1000</t>
  </si>
  <si>
    <t>βn = 1 + 2M0/Mud ≤ 2 (N′d ≥ 0) · 1 + 4M0/Mud ≥ 0 (N′d &lt; 0)</t>
  </si>
  <si>
    <t>bn</t>
  </si>
  <si>
    <t>= IF(MudS&gt;0,IF(Nd&gt;=0,MIN(2,1+2*M0/MudS),MAX(0,1+4*M0/MudS)),1)</t>
  </si>
  <si>
    <t>βn 반영 Vyd = βn·Vcd + Vsd</t>
  </si>
  <si>
    <t>Vyb</t>
  </si>
  <si>
    <t>= IF(Md&lt;0,Vc_n,Vc)*bn+IF(Md&lt;0,Vs_n,Vs)</t>
  </si>
  <si>
    <t>판정비 (전단) = γi·Vd / Vyd</t>
  </si>
  <si>
    <t>rV</t>
  </si>
  <si>
    <t>= gi*Vd/Vyb</t>
  </si>
  <si>
    <t>jV</t>
  </si>
  <si>
    <t>= IF(rV&lt;=1,"OK","NG")</t>
  </si>
  <si>
    <t>주요 점</t>
  </si>
  <si>
    <t>M (kN·m)</t>
  </si>
  <si>
    <t>N (kN)</t>
  </si>
  <si>
    <t>순압축</t>
  </si>
  <si>
    <t>균형점</t>
  </si>
  <si>
    <t>순휨</t>
  </si>
  <si>
    <t>순인장</t>
  </si>
  <si>
    <t>순휨(부)</t>
  </si>
  <si>
    <t>균형점(부)</t>
  </si>
  <si>
    <t>번호</t>
  </si>
  <si>
    <t>경간 L (mm)</t>
  </si>
  <si>
    <t>지점 조건</t>
  </si>
  <si>
    <t>단순보</t>
  </si>
  <si>
    <t>등분포하중 w (kN/m, 아래 +)</t>
  </si>
  <si>
    <t>집중하중 P1 (kN, 아래 +)</t>
  </si>
  <si>
    <t>P1 위치 a1 (좌단에서 mm)</t>
  </si>
  <si>
    <t>집중하중 P2 (kN)</t>
  </si>
  <si>
    <t>P2 위치 a2 (mm)</t>
  </si>
  <si>
    <t>Ec 콘크리트 탄성계수 (示方書 표, kN/mm²)</t>
  </si>
  <si>
    <t>Ig 총단면 단면2차모멘트 (mm⁴)</t>
  </si>
  <si>
    <t>최대 정모멘트</t>
  </si>
  <si>
    <t>165.0 kN·m @ 3.00 m</t>
  </si>
  <si>
    <t>최대 부모멘트</t>
  </si>
  <si>
    <t>0.0 kN·m @ 0.00 m</t>
  </si>
  <si>
    <t>최대 전단력</t>
  </si>
  <si>
    <t>85.0 kN @ 0.00 m</t>
  </si>
  <si>
    <t>최대 처짐</t>
  </si>
  <si>
    <t>4.23 mm @ 3.00 m · L/1417</t>
  </si>
  <si>
    <t>반력 (위 +, kN) · 고정단 모멘트 (반시계 +, kN·m)</t>
  </si>
  <si>
    <t>RA 85.0, RB 85.0</t>
  </si>
  <si>
    <t>x (mm)</t>
  </si>
  <si>
    <t>V (kN)</t>
  </si>
  <si>
    <t>δ (mm)</t>
  </si>
  <si>
    <t>재하</t>
  </si>
  <si>
    <t>4점 (지점에서 a)</t>
  </si>
  <si>
    <t>a (4점 재하점, mm)</t>
  </si>
  <si>
    <t>목표 처짐 (mm)</t>
  </si>
  <si>
    <t>단계 수</t>
  </si>
  <si>
    <t>요소 크기</t>
  </si>
  <si>
    <t>요소 / 자유도 / 철근 세그먼트</t>
  </si>
  <si>
    <t>300 / 1767 / 420</t>
  </si>
  <si>
    <t>균열 시작 81 kN</t>
  </si>
  <si>
    <t>주근 탄성</t>
  </si>
  <si>
    <t>Ec (N/mm²) · 환산단면 Ie (mm⁴)</t>
  </si>
  <si>
    <t>28000 · 56.122×10⁸</t>
  </si>
  <si>
    <t>초기강성 FEM / 보 이론 (kN/mm, 비)</t>
  </si>
  <si>
    <t>35.45 / 40.99 (0.86)</t>
  </si>
  <si>
    <t>균열 하중 · 처짐</t>
  </si>
  <si>
    <t>81.4 kN · 2.30 mm</t>
  </si>
  <si>
    <t>주근 항복 하중 · 처짐</t>
  </si>
  <si>
    <t>–</t>
  </si>
  <si>
    <t>최대 하중 · 처짐</t>
  </si>
  <si>
    <t>145.3 kN · 11.61 mm</t>
  </si>
  <si>
    <t>최대 모멘트 FEM / 등가응력블록 Mu (kN·m, 비)</t>
  </si>
  <si>
    <t>145.3 / 336.8 (0.43)</t>
  </si>
  <si>
    <t>균열 요소 수 (마지막 단계)</t>
  </si>
  <si>
    <t>120 / 300</t>
  </si>
  <si>
    <t>단계</t>
  </si>
  <si>
    <t>중앙 처짐 δ (mm)</t>
  </si>
  <si>
    <t>하중 P (kN)</t>
  </si>
  <si>
    <t>균열 요소</t>
  </si>
  <si>
    <t>압괴 요소</t>
  </si>
  <si>
    <t>항복 주근 세그먼트</t>
  </si>
  <si>
    <t>반복 횟수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</si>
</sst>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#,##0.0000"/>
    <numFmt numFmtId="166" formatCode="#,##0.00000"/>
    <numFmt numFmtId="167" formatCode="#,##0.000"/>
  </numFmts>
  <fonts count="9" x14ac:knownFonts="1">
    <font>
      <color theme="1"/>
      <family val="2"/>
      <scheme val="minor"/>
      <sz val="11"/>
      <name val="Calibri"/>
    </font>
    <font>
      <b/>
      <color rgb="FF1D2326"/>
      <sz val="14"/>
    </font>
    <font>
      <b/>
      <color rgb="FF5D676C"/>
      <sz val="9"/>
    </font>
    <font>
      <b/>
      <color rgb="FF1D2326"/>
      <sz val="11"/>
    </font>
    <font>
      <b/>
      <color rgb="FFFFFFFF"/>
    </font>
    <font>
      <i/>
    </font>
    <font>
      <color rgb="FF5D676C"/>
      <sz val="9"/>
    </font>
    <font>
      <b/>
    </font>
    <font>
      <b/>
      <color rgb="FF1D2326"/>
      <sz val="10"/>
    </font>
  </fonts>
  <fills count="4">
    <fill>
      <patternFill patternType="none"/>
    </fill>
    <fill>
      <patternFill patternType="gray125"/>
    </fill>
    <fill>
      <patternFill patternType="solid">
        <fgColor rgb="FFDCE6EE"/>
      </patternFill>
    </fill>
    <fill>
      <patternFill patternType="solid">
        <fgColor rgb="FF1F5F8B"/>
      </patternFill>
    </fill>
  </fills>
  <borders count="2">
    <border>
      <left/>
      <right/>
      <top/>
      <bottom/>
      <diagonal/>
    </border>
    <border>
      <left style="thin">
        <color rgb="FFCFD5D8"/>
      </left>
      <right style="thin">
        <color rgb="FFCFD5D8"/>
      </right>
      <top style="thin">
        <color rgb="FFCFD5D8"/>
      </top>
      <bottom style="thin">
        <color rgb="FFCFD5D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4" fillId="3" borderId="1" xfId="0" applyFont="1" applyFill="1" applyBorder="1"/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4" fontId="7" fillId="0" borderId="1" xfId="0" applyNumberFormat="1" applyFont="1" applyBorder="1" applyAlignment="1">
      <alignment horizontal="right" vertical="center"/>
    </xf>
    <xf numFmtId="0" fontId="8" fillId="0" borderId="0" xfId="0" applyFont="1"/>
    <xf numFmtId="164" fontId="7" fillId="0" borderId="1" xfId="0" applyNumberFormat="1" applyFon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0" customWidth="1"/>
    <col min="3" max="3" width="14" customWidth="1"/>
    <col min="4" max="4" width="8" customWidth="1"/>
    <col min="5" max="5" width="64" customWidth="1"/>
  </cols>
  <sheetData>
    <row r="1" ht="22" customHeight="1" spans="1:5" s="1" customFormat="1" x14ac:dyDescent="0.25">
      <c r="A1" s="1" t="s">
        <v>0</v>
      </c>
      <c r="B1" s="1"/>
      <c r="C1" s="1"/>
      <c r="D1" s="1"/>
      <c r="E1" s="1"/>
    </row>
    <row r="2" ht="17" customHeight="1" spans="1:5" s="2" customFormat="1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5" ht="19" customHeight="1" spans="1:5" s="3" customFormat="1" x14ac:dyDescent="0.25">
      <c r="A5" s="3" t="s">
        <v>3</v>
      </c>
      <c r="B5" s="3"/>
      <c r="C5" s="3"/>
      <c r="D5" s="3"/>
      <c r="E5" s="3"/>
    </row>
    <row r="6" spans="1:5" s="4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 t="s">
        <v>10</v>
      </c>
      <c r="C7" s="8">
        <v>300</v>
      </c>
      <c r="D7" s="6" t="s">
        <v>11</v>
      </c>
      <c r="E7" s="9" t="s">
        <v>12</v>
      </c>
    </row>
    <row r="8" spans="1:5" x14ac:dyDescent="0.25">
      <c r="A8" s="6" t="s">
        <v>13</v>
      </c>
      <c r="B8" s="7" t="s">
        <v>14</v>
      </c>
      <c r="C8" s="8">
        <v>500</v>
      </c>
      <c r="D8" s="6" t="s">
        <v>11</v>
      </c>
      <c r="E8" s="9" t="s">
        <v>12</v>
      </c>
    </row>
    <row r="9" spans="1:5" x14ac:dyDescent="0.25">
      <c r="A9" s="6" t="s">
        <v>15</v>
      </c>
      <c r="B9" s="7" t="s">
        <v>16</v>
      </c>
      <c r="C9" s="8">
        <v>440</v>
      </c>
      <c r="D9" s="6" t="s">
        <v>11</v>
      </c>
      <c r="E9" s="9" t="s">
        <v>12</v>
      </c>
    </row>
    <row r="10" spans="1:5" x14ac:dyDescent="0.25">
      <c r="A10" s="6" t="s">
        <v>17</v>
      </c>
      <c r="B10" s="7" t="s">
        <v>18</v>
      </c>
      <c r="C10" s="8">
        <v>800</v>
      </c>
      <c r="D10" s="6" t="s">
        <v>11</v>
      </c>
      <c r="E10" s="9" t="s">
        <v>12</v>
      </c>
    </row>
    <row r="11" spans="1:5" x14ac:dyDescent="0.25">
      <c r="A11" s="6" t="s">
        <v>19</v>
      </c>
      <c r="B11" s="7" t="s">
        <v>20</v>
      </c>
      <c r="C11" s="8">
        <v>120</v>
      </c>
      <c r="D11" s="6" t="s">
        <v>11</v>
      </c>
      <c r="E11" s="9" t="s">
        <v>12</v>
      </c>
    </row>
    <row r="12" spans="1:5" x14ac:dyDescent="0.25">
      <c r="A12" s="6" t="s">
        <v>21</v>
      </c>
      <c r="B12" s="7" t="s">
        <v>22</v>
      </c>
      <c r="C12" s="8">
        <v>30</v>
      </c>
      <c r="D12" s="6" t="s">
        <v>23</v>
      </c>
      <c r="E12" s="9" t="s">
        <v>12</v>
      </c>
    </row>
    <row r="13" spans="1:5" x14ac:dyDescent="0.25">
      <c r="A13" s="6" t="s">
        <v>24</v>
      </c>
      <c r="B13" s="7" t="s">
        <v>25</v>
      </c>
      <c r="C13" s="8">
        <v>345</v>
      </c>
      <c r="D13" s="6" t="s">
        <v>23</v>
      </c>
      <c r="E13" s="9" t="s">
        <v>12</v>
      </c>
    </row>
    <row r="14" spans="1:5" x14ac:dyDescent="0.25">
      <c r="A14" s="6" t="s">
        <v>26</v>
      </c>
      <c r="B14" s="7" t="s">
        <v>27</v>
      </c>
      <c r="C14" s="8">
        <v>200000</v>
      </c>
      <c r="D14" s="6" t="s">
        <v>23</v>
      </c>
      <c r="E14" s="9" t="s">
        <v>12</v>
      </c>
    </row>
    <row r="15" spans="1:5" x14ac:dyDescent="0.25">
      <c r="A15" s="6" t="s">
        <v>28</v>
      </c>
      <c r="B15" s="7" t="s">
        <v>29</v>
      </c>
      <c r="C15" s="8">
        <v>1.3</v>
      </c>
      <c r="D15" s="6" t="s">
        <v>12</v>
      </c>
      <c r="E15" s="9" t="s">
        <v>12</v>
      </c>
    </row>
    <row r="16" spans="1:5" x14ac:dyDescent="0.25">
      <c r="A16" s="6" t="s">
        <v>30</v>
      </c>
      <c r="B16" s="7" t="s">
        <v>31</v>
      </c>
      <c r="C16" s="8">
        <v>1</v>
      </c>
      <c r="D16" s="6" t="s">
        <v>12</v>
      </c>
      <c r="E16" s="9" t="s">
        <v>12</v>
      </c>
    </row>
    <row r="17" spans="1:5" x14ac:dyDescent="0.25">
      <c r="A17" s="6" t="s">
        <v>32</v>
      </c>
      <c r="B17" s="7" t="s">
        <v>33</v>
      </c>
      <c r="C17" s="8">
        <v>1.1</v>
      </c>
      <c r="D17" s="6" t="s">
        <v>12</v>
      </c>
      <c r="E17" s="9" t="s">
        <v>12</v>
      </c>
    </row>
    <row r="18" spans="1:5" x14ac:dyDescent="0.25">
      <c r="A18" s="6" t="s">
        <v>34</v>
      </c>
      <c r="B18" s="7" t="s">
        <v>35</v>
      </c>
      <c r="C18" s="8">
        <v>1.3</v>
      </c>
      <c r="D18" s="6" t="s">
        <v>12</v>
      </c>
      <c r="E18" s="9" t="s">
        <v>12</v>
      </c>
    </row>
    <row r="19" spans="1:5" x14ac:dyDescent="0.25">
      <c r="A19" s="6" t="s">
        <v>36</v>
      </c>
      <c r="B19" s="7" t="s">
        <v>37</v>
      </c>
      <c r="C19" s="8">
        <v>1.1</v>
      </c>
      <c r="D19" s="6" t="s">
        <v>12</v>
      </c>
      <c r="E19" s="9" t="s">
        <v>12</v>
      </c>
    </row>
    <row r="20" spans="1:5" x14ac:dyDescent="0.25">
      <c r="A20" s="6" t="s">
        <v>38</v>
      </c>
      <c r="B20" s="7" t="s">
        <v>39</v>
      </c>
      <c r="C20" s="8">
        <v>1.3</v>
      </c>
      <c r="D20" s="6" t="s">
        <v>12</v>
      </c>
      <c r="E20" s="9" t="s">
        <v>12</v>
      </c>
    </row>
    <row r="21" spans="1:5" x14ac:dyDescent="0.25">
      <c r="A21" s="6" t="s">
        <v>40</v>
      </c>
      <c r="B21" s="7" t="s">
        <v>41</v>
      </c>
      <c r="C21" s="8">
        <v>387.1</v>
      </c>
      <c r="D21" s="6" t="s">
        <v>42</v>
      </c>
      <c r="E21" s="9" t="s">
        <v>12</v>
      </c>
    </row>
    <row r="22" spans="1:5" x14ac:dyDescent="0.25">
      <c r="A22" s="6" t="s">
        <v>43</v>
      </c>
      <c r="B22" s="7" t="s">
        <v>44</v>
      </c>
      <c r="C22" s="10">
        <v>6</v>
      </c>
      <c r="D22" s="6" t="s">
        <v>12</v>
      </c>
      <c r="E22" s="9" t="s">
        <v>12</v>
      </c>
    </row>
    <row r="23" spans="1:5" x14ac:dyDescent="0.25">
      <c r="A23" s="6" t="s">
        <v>45</v>
      </c>
      <c r="B23" s="7" t="s">
        <v>46</v>
      </c>
      <c r="C23" s="8">
        <v>198.6</v>
      </c>
      <c r="D23" s="6" t="s">
        <v>42</v>
      </c>
      <c r="E23" s="9" t="s">
        <v>12</v>
      </c>
    </row>
    <row r="24" spans="1:5" x14ac:dyDescent="0.25">
      <c r="A24" s="6" t="s">
        <v>47</v>
      </c>
      <c r="B24" s="7" t="s">
        <v>48</v>
      </c>
      <c r="C24" s="10">
        <v>2</v>
      </c>
      <c r="D24" s="6" t="s">
        <v>12</v>
      </c>
      <c r="E24" s="9" t="s">
        <v>12</v>
      </c>
    </row>
    <row r="25" spans="1:5" x14ac:dyDescent="0.25">
      <c r="A25" s="6" t="s">
        <v>49</v>
      </c>
      <c r="B25" s="7" t="s">
        <v>50</v>
      </c>
      <c r="C25" s="8">
        <v>40</v>
      </c>
      <c r="D25" s="6" t="s">
        <v>11</v>
      </c>
      <c r="E25" s="9" t="s">
        <v>12</v>
      </c>
    </row>
    <row r="26" spans="1:5" x14ac:dyDescent="0.25">
      <c r="A26" s="6" t="s">
        <v>51</v>
      </c>
      <c r="B26" s="7" t="s">
        <v>52</v>
      </c>
      <c r="C26" s="8">
        <v>71.33</v>
      </c>
      <c r="D26" s="6" t="s">
        <v>42</v>
      </c>
      <c r="E26" s="9" t="s">
        <v>12</v>
      </c>
    </row>
    <row r="27" spans="1:5" x14ac:dyDescent="0.25">
      <c r="A27" s="6" t="s">
        <v>53</v>
      </c>
      <c r="B27" s="7" t="s">
        <v>54</v>
      </c>
      <c r="C27" s="10">
        <v>2</v>
      </c>
      <c r="D27" s="6" t="s">
        <v>12</v>
      </c>
      <c r="E27" s="9" t="s">
        <v>12</v>
      </c>
    </row>
    <row r="28" spans="1:5" x14ac:dyDescent="0.25">
      <c r="A28" s="6" t="s">
        <v>55</v>
      </c>
      <c r="B28" s="7" t="s">
        <v>56</v>
      </c>
      <c r="C28" s="8">
        <v>200</v>
      </c>
      <c r="D28" s="6" t="s">
        <v>11</v>
      </c>
      <c r="E28" s="9" t="s">
        <v>12</v>
      </c>
    </row>
    <row r="29" spans="1:5" x14ac:dyDescent="0.25">
      <c r="A29" s="6" t="s">
        <v>57</v>
      </c>
      <c r="B29" s="7" t="s">
        <v>58</v>
      </c>
      <c r="C29" s="8">
        <v>295</v>
      </c>
      <c r="D29" s="6" t="s">
        <v>23</v>
      </c>
      <c r="E29" s="9" t="s">
        <v>12</v>
      </c>
    </row>
    <row r="30" spans="1:5" x14ac:dyDescent="0.25">
      <c r="A30" s="6" t="s">
        <v>59</v>
      </c>
      <c r="B30" s="7" t="s">
        <v>60</v>
      </c>
      <c r="C30" s="8">
        <v>1.1</v>
      </c>
      <c r="D30" s="6" t="s">
        <v>12</v>
      </c>
      <c r="E30" s="9" t="s">
        <v>12</v>
      </c>
    </row>
    <row r="31" spans="1:5" x14ac:dyDescent="0.25">
      <c r="A31" s="6" t="s">
        <v>61</v>
      </c>
      <c r="B31" s="7" t="s">
        <v>62</v>
      </c>
      <c r="C31" s="8">
        <v>200</v>
      </c>
      <c r="D31" s="6" t="s">
        <v>63</v>
      </c>
      <c r="E31" s="9" t="s">
        <v>12</v>
      </c>
    </row>
    <row r="32" spans="1:5" x14ac:dyDescent="0.25">
      <c r="A32" s="6" t="s">
        <v>64</v>
      </c>
      <c r="B32" s="7" t="s">
        <v>65</v>
      </c>
      <c r="C32" s="8">
        <v>300</v>
      </c>
      <c r="D32" s="6" t="s">
        <v>66</v>
      </c>
      <c r="E32" s="9" t="s">
        <v>12</v>
      </c>
    </row>
    <row r="33" spans="1:5" x14ac:dyDescent="0.25">
      <c r="A33" s="6" t="s">
        <v>67</v>
      </c>
      <c r="B33" s="7" t="s">
        <v>68</v>
      </c>
      <c r="C33" s="8">
        <v>150</v>
      </c>
      <c r="D33" s="6" t="s">
        <v>66</v>
      </c>
      <c r="E33" s="9" t="s">
        <v>12</v>
      </c>
    </row>
    <row r="35" ht="19" customHeight="1" spans="1:5" s="3" customFormat="1" x14ac:dyDescent="0.25">
      <c r="A35" s="3" t="s">
        <v>69</v>
      </c>
      <c r="B35" s="3"/>
      <c r="C35" s="3"/>
      <c r="D35" s="3"/>
      <c r="E35" s="3"/>
    </row>
    <row r="36" spans="1:5" s="4" customFormat="1" x14ac:dyDescent="0.25">
      <c r="A36" s="5" t="s">
        <v>4</v>
      </c>
      <c r="B36" s="5" t="s">
        <v>5</v>
      </c>
      <c r="C36" s="5" t="s">
        <v>6</v>
      </c>
      <c r="D36" s="5" t="s">
        <v>7</v>
      </c>
      <c r="E36" s="5" t="s">
        <v>8</v>
      </c>
    </row>
    <row r="37" spans="1:5" x14ac:dyDescent="0.25">
      <c r="A37" s="6" t="s">
        <v>70</v>
      </c>
      <c r="B37" s="7" t="s">
        <v>71</v>
      </c>
      <c r="C37" s="8">
        <f>C12/C15</f>
      </c>
      <c r="D37" s="6" t="s">
        <v>23</v>
      </c>
      <c r="E37" s="9" t="s">
        <v>72</v>
      </c>
    </row>
    <row r="38" spans="1:5" x14ac:dyDescent="0.25">
      <c r="A38" s="6" t="s">
        <v>73</v>
      </c>
      <c r="B38" s="7" t="s">
        <v>74</v>
      </c>
      <c r="C38" s="11">
        <f>C13/C16</f>
      </c>
      <c r="D38" s="6" t="s">
        <v>23</v>
      </c>
      <c r="E38" s="9" t="s">
        <v>75</v>
      </c>
    </row>
    <row r="39" spans="1:5" x14ac:dyDescent="0.25">
      <c r="A39" s="6" t="s">
        <v>76</v>
      </c>
      <c r="B39" s="7" t="s">
        <v>77</v>
      </c>
      <c r="C39" s="11">
        <f>C29/C16</f>
      </c>
      <c r="D39" s="6" t="s">
        <v>23</v>
      </c>
      <c r="E39" s="9" t="s">
        <v>78</v>
      </c>
    </row>
    <row r="41" ht="19" customHeight="1" spans="1:5" s="3" customFormat="1" x14ac:dyDescent="0.25">
      <c r="A41" s="3" t="s">
        <v>79</v>
      </c>
      <c r="B41" s="3"/>
      <c r="C41" s="3"/>
      <c r="D41" s="3"/>
      <c r="E41" s="3"/>
    </row>
    <row r="42" spans="1:5" s="4" customFormat="1" x14ac:dyDescent="0.25">
      <c r="A42" s="5" t="s">
        <v>4</v>
      </c>
      <c r="B42" s="5" t="s">
        <v>5</v>
      </c>
      <c r="C42" s="5" t="s">
        <v>6</v>
      </c>
      <c r="D42" s="5" t="s">
        <v>7</v>
      </c>
      <c r="E42" s="5" t="s">
        <v>8</v>
      </c>
    </row>
    <row r="43" spans="1:5" x14ac:dyDescent="0.25">
      <c r="A43" s="6" t="s">
        <v>80</v>
      </c>
      <c r="B43" s="7" t="s">
        <v>81</v>
      </c>
      <c r="C43" s="12">
        <f>MIN(0.85,1-0.003*C12)</f>
      </c>
      <c r="D43" s="6" t="s">
        <v>12</v>
      </c>
      <c r="E43" s="9" t="s">
        <v>82</v>
      </c>
    </row>
    <row r="44" spans="1:5" x14ac:dyDescent="0.25">
      <c r="A44" s="6" t="s">
        <v>83</v>
      </c>
      <c r="B44" s="7" t="s">
        <v>84</v>
      </c>
      <c r="C44" s="13">
        <f>MIN(0.0035,MAX(0.0025,(155-C12)/30000))</f>
      </c>
      <c r="D44" s="6" t="s">
        <v>12</v>
      </c>
      <c r="E44" s="9" t="s">
        <v>85</v>
      </c>
    </row>
    <row r="45" spans="1:5" x14ac:dyDescent="0.25">
      <c r="A45" s="6" t="s">
        <v>86</v>
      </c>
      <c r="B45" s="7" t="s">
        <v>87</v>
      </c>
      <c r="C45" s="12">
        <f>0.52+80*C44</f>
      </c>
      <c r="D45" s="6" t="s">
        <v>12</v>
      </c>
      <c r="E45" s="9" t="s">
        <v>88</v>
      </c>
    </row>
    <row r="46" spans="1:5" x14ac:dyDescent="0.25">
      <c r="A46" s="6" t="s">
        <v>89</v>
      </c>
      <c r="B46" s="7" t="s">
        <v>90</v>
      </c>
      <c r="C46" s="11">
        <f>IF(C11&gt;0,MAX(C10,C7),C7)</f>
      </c>
      <c r="D46" s="6" t="s">
        <v>11</v>
      </c>
      <c r="E46" s="9" t="s">
        <v>91</v>
      </c>
    </row>
    <row r="47" spans="1:5" x14ac:dyDescent="0.25">
      <c r="A47" s="6" t="s">
        <v>92</v>
      </c>
      <c r="B47" s="7" t="s">
        <v>93</v>
      </c>
      <c r="C47" s="11">
        <f>IF(C11&gt;0,MIN(C11,C8),0)</f>
      </c>
      <c r="D47" s="6" t="s">
        <v>11</v>
      </c>
      <c r="E47" s="9" t="s">
        <v>94</v>
      </c>
    </row>
    <row r="49" ht="19" customHeight="1" spans="1:5" s="3" customFormat="1" x14ac:dyDescent="0.25">
      <c r="A49" s="3" t="s">
        <v>95</v>
      </c>
      <c r="B49" s="3"/>
      <c r="C49" s="3"/>
      <c r="D49" s="3"/>
      <c r="E49" s="3"/>
    </row>
    <row r="50" spans="1:5" s="4" customFormat="1" x14ac:dyDescent="0.25">
      <c r="A50" s="5" t="s">
        <v>4</v>
      </c>
      <c r="B50" s="5" t="s">
        <v>5</v>
      </c>
      <c r="C50" s="5" t="s">
        <v>6</v>
      </c>
      <c r="D50" s="5" t="s">
        <v>7</v>
      </c>
      <c r="E50" s="5" t="s">
        <v>8</v>
      </c>
    </row>
    <row r="51" spans="1:5" x14ac:dyDescent="0.25">
      <c r="A51" s="6" t="s">
        <v>96</v>
      </c>
      <c r="B51" s="7" t="s">
        <v>97</v>
      </c>
      <c r="C51" s="11">
        <f>C21*C22</f>
      </c>
      <c r="D51" s="6" t="s">
        <v>42</v>
      </c>
      <c r="E51" s="9" t="s">
        <v>98</v>
      </c>
    </row>
    <row r="52" spans="1:5" x14ac:dyDescent="0.25">
      <c r="A52" s="6" t="s">
        <v>99</v>
      </c>
      <c r="B52" s="7" t="s">
        <v>100</v>
      </c>
      <c r="C52" s="11">
        <f>C23*C24</f>
      </c>
      <c r="D52" s="6" t="s">
        <v>42</v>
      </c>
      <c r="E52" s="9" t="s">
        <v>101</v>
      </c>
    </row>
    <row r="53" spans="1:5" x14ac:dyDescent="0.25">
      <c r="A53" s="6" t="s">
        <v>102</v>
      </c>
      <c r="B53" s="7" t="s">
        <v>103</v>
      </c>
      <c r="C53" s="11">
        <f>C26*C27</f>
      </c>
      <c r="D53" s="6" t="s">
        <v>42</v>
      </c>
      <c r="E53" s="9" t="s">
        <v>104</v>
      </c>
    </row>
    <row r="55" ht="19" customHeight="1" spans="1:5" s="3" customFormat="1" x14ac:dyDescent="0.25">
      <c r="A55" s="3" t="s">
        <v>105</v>
      </c>
      <c r="B55" s="3"/>
      <c r="C55" s="3"/>
      <c r="D55" s="3"/>
      <c r="E55" s="3"/>
    </row>
    <row r="56" spans="1:5" s="4" customFormat="1" x14ac:dyDescent="0.25">
      <c r="A56" s="5" t="s">
        <v>4</v>
      </c>
      <c r="B56" s="5" t="s">
        <v>5</v>
      </c>
      <c r="C56" s="5" t="s">
        <v>6</v>
      </c>
      <c r="D56" s="5" t="s">
        <v>7</v>
      </c>
      <c r="E56" s="5" t="s">
        <v>8</v>
      </c>
    </row>
    <row r="57" spans="1:5" x14ac:dyDescent="0.25">
      <c r="A57" s="6" t="s">
        <v>106</v>
      </c>
      <c r="B57" s="7" t="s">
        <v>107</v>
      </c>
      <c r="C57" s="8">
        <v>57.17559096684663</v>
      </c>
      <c r="D57" s="6" t="s">
        <v>11</v>
      </c>
      <c r="E57" s="9" t="s">
        <v>108</v>
      </c>
    </row>
    <row r="58" spans="1:5" x14ac:dyDescent="0.25">
      <c r="A58" s="6" t="s">
        <v>109</v>
      </c>
      <c r="B58" s="7" t="s">
        <v>110</v>
      </c>
      <c r="C58" s="8">
        <f>MIN(C45*C57,C8)</f>
      </c>
      <c r="D58" s="6" t="s">
        <v>11</v>
      </c>
      <c r="E58" s="9" t="s">
        <v>111</v>
      </c>
    </row>
    <row r="59" spans="1:5" x14ac:dyDescent="0.25">
      <c r="A59" s="6" t="s">
        <v>112</v>
      </c>
      <c r="B59" s="7" t="s">
        <v>113</v>
      </c>
      <c r="C59" s="8">
        <f>MAX(0,MIN(C58,C47)-0)</f>
      </c>
      <c r="D59" s="6" t="s">
        <v>11</v>
      </c>
      <c r="E59" s="9" t="s">
        <v>114</v>
      </c>
    </row>
    <row r="60" spans="1:5" x14ac:dyDescent="0.25">
      <c r="A60" s="6" t="s">
        <v>115</v>
      </c>
      <c r="B60" s="7" t="s">
        <v>116</v>
      </c>
      <c r="C60" s="10">
        <f>C7*C58</f>
      </c>
      <c r="D60" s="6" t="s">
        <v>42</v>
      </c>
      <c r="E60" s="9" t="s">
        <v>117</v>
      </c>
    </row>
    <row r="61" spans="1:5" x14ac:dyDescent="0.25">
      <c r="A61" s="6" t="s">
        <v>118</v>
      </c>
      <c r="B61" s="7" t="s">
        <v>119</v>
      </c>
      <c r="C61" s="10">
        <f>(C46-C7)*C59</f>
      </c>
      <c r="D61" s="6" t="s">
        <v>42</v>
      </c>
      <c r="E61" s="9" t="s">
        <v>120</v>
      </c>
    </row>
    <row r="62" spans="1:5" x14ac:dyDescent="0.25">
      <c r="A62" s="6" t="s">
        <v>121</v>
      </c>
      <c r="B62" s="7" t="s">
        <v>122</v>
      </c>
      <c r="C62" s="10">
        <f>C43*C37*(C60+C61)</f>
      </c>
      <c r="D62" s="6" t="s">
        <v>123</v>
      </c>
      <c r="E62" s="9" t="s">
        <v>124</v>
      </c>
    </row>
    <row r="63" spans="1:5" x14ac:dyDescent="0.25">
      <c r="A63" s="6" t="s">
        <v>125</v>
      </c>
      <c r="B63" s="7" t="s">
        <v>126</v>
      </c>
      <c r="C63" s="8">
        <f>IF(C60+C61&gt;0,(C60*C58/2+C61*(0+C59/2))/(C60+C61),0)</f>
      </c>
      <c r="D63" s="6" t="s">
        <v>11</v>
      </c>
      <c r="E63" s="9" t="s">
        <v>127</v>
      </c>
    </row>
    <row r="64" spans="1:5" x14ac:dyDescent="0.25">
      <c r="A64" s="6" t="s">
        <v>128</v>
      </c>
      <c r="B64" s="7" t="s">
        <v>129</v>
      </c>
      <c r="C64" s="13">
        <f>C44*(C9-C57)/C57</f>
      </c>
      <c r="D64" s="6" t="s">
        <v>12</v>
      </c>
      <c r="E64" s="9" t="s">
        <v>130</v>
      </c>
    </row>
    <row r="65" spans="1:5" x14ac:dyDescent="0.25">
      <c r="A65" s="6" t="s">
        <v>131</v>
      </c>
      <c r="B65" s="7" t="s">
        <v>132</v>
      </c>
      <c r="C65" s="13">
        <f>C44*(C57-C25)/C57</f>
      </c>
      <c r="D65" s="6" t="s">
        <v>12</v>
      </c>
      <c r="E65" s="9" t="s">
        <v>133</v>
      </c>
    </row>
    <row r="66" spans="1:5" x14ac:dyDescent="0.25">
      <c r="A66" s="6" t="s">
        <v>134</v>
      </c>
      <c r="B66" s="7" t="s">
        <v>135</v>
      </c>
      <c r="C66" s="11">
        <f>MAX(-C38,MIN(C38,C14*C64))</f>
      </c>
      <c r="D66" s="6" t="s">
        <v>23</v>
      </c>
      <c r="E66" s="9" t="s">
        <v>136</v>
      </c>
    </row>
    <row r="67" spans="1:5" x14ac:dyDescent="0.25">
      <c r="A67" s="6" t="s">
        <v>137</v>
      </c>
      <c r="B67" s="7" t="s">
        <v>138</v>
      </c>
      <c r="C67" s="11">
        <f>MAX(-C38,MIN(C38,C14*C65))</f>
      </c>
      <c r="D67" s="6" t="s">
        <v>23</v>
      </c>
      <c r="E67" s="9" t="s">
        <v>139</v>
      </c>
    </row>
    <row r="68" spans="1:5" x14ac:dyDescent="0.25">
      <c r="A68" s="6" t="s">
        <v>140</v>
      </c>
      <c r="B68" s="7" t="s">
        <v>141</v>
      </c>
      <c r="C68" s="10">
        <f>C51*C66</f>
      </c>
      <c r="D68" s="6" t="s">
        <v>123</v>
      </c>
      <c r="E68" s="9" t="s">
        <v>142</v>
      </c>
    </row>
    <row r="69" spans="1:5" x14ac:dyDescent="0.25">
      <c r="A69" s="6" t="s">
        <v>143</v>
      </c>
      <c r="B69" s="7" t="s">
        <v>144</v>
      </c>
      <c r="C69" s="10">
        <f>C52*C67</f>
      </c>
      <c r="D69" s="6" t="s">
        <v>123</v>
      </c>
      <c r="E69" s="9" t="s">
        <v>145</v>
      </c>
    </row>
    <row r="70" spans="1:5" x14ac:dyDescent="0.25">
      <c r="A70" s="6" t="s">
        <v>146</v>
      </c>
      <c r="B70" s="7" t="s">
        <v>147</v>
      </c>
      <c r="C70" s="10">
        <f>C62+C69-C68</f>
      </c>
      <c r="D70" s="6" t="s">
        <v>123</v>
      </c>
      <c r="E70" s="9" t="s">
        <v>148</v>
      </c>
    </row>
    <row r="71" spans="1:5" x14ac:dyDescent="0.25">
      <c r="A71" s="6" t="s">
        <v>149</v>
      </c>
      <c r="B71" s="7" t="s">
        <v>150</v>
      </c>
      <c r="C71" s="8">
        <f>(C68*C9-C62*C63-C69*C25)/1000000</f>
      </c>
      <c r="D71" s="6" t="s">
        <v>63</v>
      </c>
      <c r="E71" s="9" t="s">
        <v>151</v>
      </c>
    </row>
    <row r="72" spans="1:5" s="14" customFormat="1" x14ac:dyDescent="0.25">
      <c r="A72" s="15" t="s">
        <v>152</v>
      </c>
      <c r="B72" s="15" t="s">
        <v>153</v>
      </c>
      <c r="C72" s="16">
        <f>C71/C17</f>
      </c>
      <c r="D72" s="15" t="s">
        <v>63</v>
      </c>
      <c r="E72" s="15" t="s">
        <v>154</v>
      </c>
    </row>
    <row r="74" ht="19" customHeight="1" spans="1:5" s="3" customFormat="1" x14ac:dyDescent="0.25">
      <c r="A74" s="3" t="s">
        <v>155</v>
      </c>
      <c r="B74" s="3"/>
      <c r="C74" s="3"/>
      <c r="D74" s="3"/>
      <c r="E74" s="3"/>
    </row>
    <row r="75" spans="1:5" s="4" customFormat="1" x14ac:dyDescent="0.25">
      <c r="A75" s="5" t="s">
        <v>4</v>
      </c>
      <c r="B75" s="5" t="s">
        <v>5</v>
      </c>
      <c r="C75" s="5" t="s">
        <v>6</v>
      </c>
      <c r="D75" s="5" t="s">
        <v>7</v>
      </c>
      <c r="E75" s="5" t="s">
        <v>8</v>
      </c>
    </row>
    <row r="76" spans="1:5" x14ac:dyDescent="0.25">
      <c r="A76" s="6" t="s">
        <v>156</v>
      </c>
      <c r="B76" s="7" t="s">
        <v>157</v>
      </c>
      <c r="C76" s="11">
        <f>C8-C25</f>
      </c>
      <c r="D76" s="6" t="s">
        <v>11</v>
      </c>
      <c r="E76" s="9" t="s">
        <v>158</v>
      </c>
    </row>
    <row r="77" spans="1:5" x14ac:dyDescent="0.25">
      <c r="A77" s="6" t="s">
        <v>159</v>
      </c>
      <c r="B77" s="7" t="s">
        <v>160</v>
      </c>
      <c r="C77" s="11">
        <f>C8-C9</f>
      </c>
      <c r="D77" s="6" t="s">
        <v>11</v>
      </c>
      <c r="E77" s="9" t="s">
        <v>161</v>
      </c>
    </row>
    <row r="78" spans="1:5" x14ac:dyDescent="0.25">
      <c r="A78" s="6" t="s">
        <v>106</v>
      </c>
      <c r="B78" s="7" t="s">
        <v>162</v>
      </c>
      <c r="C78" s="8">
        <v>55.70906561573236</v>
      </c>
      <c r="D78" s="6" t="s">
        <v>11</v>
      </c>
      <c r="E78" s="9" t="s">
        <v>108</v>
      </c>
    </row>
    <row r="79" spans="1:5" x14ac:dyDescent="0.25">
      <c r="A79" s="6" t="s">
        <v>109</v>
      </c>
      <c r="B79" s="7" t="s">
        <v>163</v>
      </c>
      <c r="C79" s="8">
        <f>MIN(C45*C78,C8)</f>
      </c>
      <c r="D79" s="6" t="s">
        <v>11</v>
      </c>
      <c r="E79" s="9" t="s">
        <v>164</v>
      </c>
    </row>
    <row r="80" spans="1:5" x14ac:dyDescent="0.25">
      <c r="A80" s="6" t="s">
        <v>112</v>
      </c>
      <c r="B80" s="7" t="s">
        <v>165</v>
      </c>
      <c r="C80" s="8">
        <f>MAX(0,MIN(C79,C8)-(C8-C47))</f>
      </c>
      <c r="D80" s="6" t="s">
        <v>11</v>
      </c>
      <c r="E80" s="9" t="s">
        <v>166</v>
      </c>
    </row>
    <row r="81" spans="1:5" x14ac:dyDescent="0.25">
      <c r="A81" s="6" t="s">
        <v>115</v>
      </c>
      <c r="B81" s="7" t="s">
        <v>167</v>
      </c>
      <c r="C81" s="10">
        <f>C7*C79</f>
      </c>
      <c r="D81" s="6" t="s">
        <v>42</v>
      </c>
      <c r="E81" s="9" t="s">
        <v>168</v>
      </c>
    </row>
    <row r="82" spans="1:5" x14ac:dyDescent="0.25">
      <c r="A82" s="6" t="s">
        <v>118</v>
      </c>
      <c r="B82" s="7" t="s">
        <v>169</v>
      </c>
      <c r="C82" s="10">
        <f>(C46-C7)*C80</f>
      </c>
      <c r="D82" s="6" t="s">
        <v>42</v>
      </c>
      <c r="E82" s="9" t="s">
        <v>170</v>
      </c>
    </row>
    <row r="83" spans="1:5" x14ac:dyDescent="0.25">
      <c r="A83" s="6" t="s">
        <v>121</v>
      </c>
      <c r="B83" s="7" t="s">
        <v>171</v>
      </c>
      <c r="C83" s="10">
        <f>C43*C37*(C81+C82)</f>
      </c>
      <c r="D83" s="6" t="s">
        <v>123</v>
      </c>
      <c r="E83" s="9" t="s">
        <v>172</v>
      </c>
    </row>
    <row r="84" spans="1:5" x14ac:dyDescent="0.25">
      <c r="A84" s="6" t="s">
        <v>125</v>
      </c>
      <c r="B84" s="7" t="s">
        <v>173</v>
      </c>
      <c r="C84" s="8">
        <f>IF(C81+C82&gt;0,(C81*C79/2+C82*((C8-C47)+C80/2))/(C81+C82),0)</f>
      </c>
      <c r="D84" s="6" t="s">
        <v>11</v>
      </c>
      <c r="E84" s="9" t="s">
        <v>174</v>
      </c>
    </row>
    <row r="85" spans="1:5" x14ac:dyDescent="0.25">
      <c r="A85" s="6" t="s">
        <v>128</v>
      </c>
      <c r="B85" s="7" t="s">
        <v>175</v>
      </c>
      <c r="C85" s="13">
        <f>C44*(C76-C78)/C78</f>
      </c>
      <c r="D85" s="6" t="s">
        <v>12</v>
      </c>
      <c r="E85" s="9" t="s">
        <v>176</v>
      </c>
    </row>
    <row r="86" spans="1:5" x14ac:dyDescent="0.25">
      <c r="A86" s="6" t="s">
        <v>131</v>
      </c>
      <c r="B86" s="7" t="s">
        <v>177</v>
      </c>
      <c r="C86" s="13">
        <f>C44*(C78-C77)/C78</f>
      </c>
      <c r="D86" s="6" t="s">
        <v>12</v>
      </c>
      <c r="E86" s="9" t="s">
        <v>178</v>
      </c>
    </row>
    <row r="87" spans="1:5" x14ac:dyDescent="0.25">
      <c r="A87" s="6" t="s">
        <v>134</v>
      </c>
      <c r="B87" s="7" t="s">
        <v>179</v>
      </c>
      <c r="C87" s="11">
        <f>MAX(-C38,MIN(C38,C14*C85))</f>
      </c>
      <c r="D87" s="6" t="s">
        <v>23</v>
      </c>
      <c r="E87" s="9" t="s">
        <v>180</v>
      </c>
    </row>
    <row r="88" spans="1:5" x14ac:dyDescent="0.25">
      <c r="A88" s="6" t="s">
        <v>137</v>
      </c>
      <c r="B88" s="7" t="s">
        <v>181</v>
      </c>
      <c r="C88" s="11">
        <f>MAX(-C38,MIN(C38,C14*C86))</f>
      </c>
      <c r="D88" s="6" t="s">
        <v>23</v>
      </c>
      <c r="E88" s="9" t="s">
        <v>182</v>
      </c>
    </row>
    <row r="89" spans="1:5" x14ac:dyDescent="0.25">
      <c r="A89" s="6" t="s">
        <v>140</v>
      </c>
      <c r="B89" s="7" t="s">
        <v>183</v>
      </c>
      <c r="C89" s="10">
        <f>C52*C87</f>
      </c>
      <c r="D89" s="6" t="s">
        <v>123</v>
      </c>
      <c r="E89" s="9" t="s">
        <v>184</v>
      </c>
    </row>
    <row r="90" spans="1:5" x14ac:dyDescent="0.25">
      <c r="A90" s="6" t="s">
        <v>143</v>
      </c>
      <c r="B90" s="7" t="s">
        <v>185</v>
      </c>
      <c r="C90" s="10">
        <f>C51*C88</f>
      </c>
      <c r="D90" s="6" t="s">
        <v>123</v>
      </c>
      <c r="E90" s="9" t="s">
        <v>186</v>
      </c>
    </row>
    <row r="91" spans="1:5" x14ac:dyDescent="0.25">
      <c r="A91" s="6" t="s">
        <v>146</v>
      </c>
      <c r="B91" s="7" t="s">
        <v>187</v>
      </c>
      <c r="C91" s="10">
        <f>C83+C90-C89</f>
      </c>
      <c r="D91" s="6" t="s">
        <v>123</v>
      </c>
      <c r="E91" s="9" t="s">
        <v>148</v>
      </c>
    </row>
    <row r="92" spans="1:5" x14ac:dyDescent="0.25">
      <c r="A92" s="6" t="s">
        <v>149</v>
      </c>
      <c r="B92" s="7" t="s">
        <v>188</v>
      </c>
      <c r="C92" s="8">
        <f>(C89*C76-C83*C84-C90*C77)/1000000</f>
      </c>
      <c r="D92" s="6" t="s">
        <v>63</v>
      </c>
      <c r="E92" s="9" t="s">
        <v>189</v>
      </c>
    </row>
    <row r="93" spans="1:5" s="14" customFormat="1" x14ac:dyDescent="0.25">
      <c r="A93" s="15" t="s">
        <v>152</v>
      </c>
      <c r="B93" s="15" t="s">
        <v>190</v>
      </c>
      <c r="C93" s="16">
        <f>C92/C17</f>
      </c>
      <c r="D93" s="15" t="s">
        <v>63</v>
      </c>
      <c r="E93" s="15" t="s">
        <v>191</v>
      </c>
    </row>
    <row r="95" ht="19" customHeight="1" spans="1:5" s="3" customFormat="1" x14ac:dyDescent="0.25">
      <c r="A95" s="3" t="s">
        <v>192</v>
      </c>
      <c r="B95" s="3"/>
      <c r="C95" s="3"/>
      <c r="D95" s="3"/>
      <c r="E95" s="3"/>
    </row>
    <row r="96" spans="1:5" s="4" customFormat="1" x14ac:dyDescent="0.25">
      <c r="A96" s="5" t="s">
        <v>4</v>
      </c>
      <c r="B96" s="5" t="s">
        <v>5</v>
      </c>
      <c r="C96" s="5" t="s">
        <v>6</v>
      </c>
      <c r="D96" s="5" t="s">
        <v>7</v>
      </c>
      <c r="E96" s="5" t="s">
        <v>8</v>
      </c>
    </row>
    <row r="97" ht="18" customHeight="1" spans="1:5" s="17" customFormat="1" x14ac:dyDescent="0.25">
      <c r="A97" s="17" t="s">
        <v>193</v>
      </c>
      <c r="B97" s="17"/>
      <c r="C97" s="17"/>
      <c r="D97" s="17"/>
      <c r="E97" s="17"/>
    </row>
    <row r="98" spans="1:5" x14ac:dyDescent="0.25">
      <c r="A98" s="6" t="s">
        <v>194</v>
      </c>
      <c r="B98" s="7" t="s">
        <v>195</v>
      </c>
      <c r="C98" s="13">
        <f>C51/(C7*C9)</f>
      </c>
      <c r="D98" s="6" t="s">
        <v>12</v>
      </c>
      <c r="E98" s="9" t="s">
        <v>196</v>
      </c>
    </row>
    <row r="99" spans="1:5" x14ac:dyDescent="0.25">
      <c r="A99" s="6" t="s">
        <v>197</v>
      </c>
      <c r="B99" s="7" t="s">
        <v>198</v>
      </c>
      <c r="C99" s="12">
        <f>MIN(1.5,(1000/C9)^0.25)</f>
      </c>
      <c r="D99" s="6" t="s">
        <v>12</v>
      </c>
      <c r="E99" s="9" t="s">
        <v>199</v>
      </c>
    </row>
    <row r="100" spans="1:5" x14ac:dyDescent="0.25">
      <c r="A100" s="6" t="s">
        <v>200</v>
      </c>
      <c r="B100" s="7" t="s">
        <v>201</v>
      </c>
      <c r="C100" s="12">
        <f>MIN(1.5,(100*C98)^(1/3))</f>
      </c>
      <c r="D100" s="6" t="s">
        <v>12</v>
      </c>
      <c r="E100" s="9" t="s">
        <v>202</v>
      </c>
    </row>
    <row r="101" spans="1:5" x14ac:dyDescent="0.25">
      <c r="A101" s="6" t="s">
        <v>203</v>
      </c>
      <c r="B101" s="7" t="s">
        <v>204</v>
      </c>
      <c r="C101" s="12">
        <f>MIN(0.72,0.2*C37^(1/3))</f>
      </c>
      <c r="D101" s="6" t="s">
        <v>23</v>
      </c>
      <c r="E101" s="9" t="s">
        <v>205</v>
      </c>
    </row>
    <row r="102" spans="1:5" x14ac:dyDescent="0.25">
      <c r="A102" s="6" t="s">
        <v>206</v>
      </c>
      <c r="B102" s="7" t="s">
        <v>207</v>
      </c>
      <c r="C102" s="8">
        <f>C99*C100*C101*C7*C9/1000/C18</f>
      </c>
      <c r="D102" s="6" t="s">
        <v>66</v>
      </c>
      <c r="E102" s="9" t="s">
        <v>208</v>
      </c>
    </row>
    <row r="103" spans="1:5" x14ac:dyDescent="0.25">
      <c r="A103" s="6" t="s">
        <v>209</v>
      </c>
      <c r="B103" s="7" t="s">
        <v>210</v>
      </c>
      <c r="C103" s="11">
        <f>C9/1.15</f>
      </c>
      <c r="D103" s="6" t="s">
        <v>11</v>
      </c>
      <c r="E103" s="9" t="s">
        <v>211</v>
      </c>
    </row>
    <row r="104" spans="1:5" x14ac:dyDescent="0.25">
      <c r="A104" s="6" t="s">
        <v>212</v>
      </c>
      <c r="B104" s="7" t="s">
        <v>213</v>
      </c>
      <c r="C104" s="8">
        <f>IF(C28&gt;0,C53*C39*C103/C28/1000/C19,0)</f>
      </c>
      <c r="D104" s="6" t="s">
        <v>66</v>
      </c>
      <c r="E104" s="9" t="s">
        <v>214</v>
      </c>
    </row>
    <row r="105" spans="1:5" s="14" customFormat="1" x14ac:dyDescent="0.25">
      <c r="A105" s="15" t="s">
        <v>215</v>
      </c>
      <c r="B105" s="15" t="s">
        <v>216</v>
      </c>
      <c r="C105" s="16">
        <f>C102+C104</f>
      </c>
      <c r="D105" s="15" t="s">
        <v>66</v>
      </c>
      <c r="E105" s="15" t="s">
        <v>217</v>
      </c>
    </row>
    <row r="106" ht="18" customHeight="1" spans="1:5" s="17" customFormat="1" x14ac:dyDescent="0.25">
      <c r="A106" s="17" t="s">
        <v>218</v>
      </c>
      <c r="B106" s="17"/>
      <c r="C106" s="17"/>
      <c r="D106" s="17"/>
      <c r="E106" s="17"/>
    </row>
    <row r="107" spans="1:5" x14ac:dyDescent="0.25">
      <c r="A107" s="6" t="s">
        <v>194</v>
      </c>
      <c r="B107" s="7" t="s">
        <v>219</v>
      </c>
      <c r="C107" s="13">
        <f>C52/(C7*C76)</f>
      </c>
      <c r="D107" s="6" t="s">
        <v>12</v>
      </c>
      <c r="E107" s="9" t="s">
        <v>220</v>
      </c>
    </row>
    <row r="108" spans="1:5" x14ac:dyDescent="0.25">
      <c r="A108" s="6" t="s">
        <v>197</v>
      </c>
      <c r="B108" s="7" t="s">
        <v>221</v>
      </c>
      <c r="C108" s="12">
        <f>MIN(1.5,(1000/C76)^0.25)</f>
      </c>
      <c r="D108" s="6" t="s">
        <v>12</v>
      </c>
      <c r="E108" s="9" t="s">
        <v>222</v>
      </c>
    </row>
    <row r="109" spans="1:5" x14ac:dyDescent="0.25">
      <c r="A109" s="6" t="s">
        <v>200</v>
      </c>
      <c r="B109" s="7" t="s">
        <v>223</v>
      </c>
      <c r="C109" s="12">
        <f>MIN(1.5,(100*C107)^(1/3))</f>
      </c>
      <c r="D109" s="6" t="s">
        <v>12</v>
      </c>
      <c r="E109" s="9" t="s">
        <v>224</v>
      </c>
    </row>
    <row r="110" spans="1:5" x14ac:dyDescent="0.25">
      <c r="A110" s="6" t="s">
        <v>203</v>
      </c>
      <c r="B110" s="7" t="s">
        <v>225</v>
      </c>
      <c r="C110" s="12">
        <f>MIN(0.72,0.2*C37^(1/3))</f>
      </c>
      <c r="D110" s="6" t="s">
        <v>23</v>
      </c>
      <c r="E110" s="9" t="s">
        <v>205</v>
      </c>
    </row>
    <row r="111" spans="1:5" x14ac:dyDescent="0.25">
      <c r="A111" s="6" t="s">
        <v>206</v>
      </c>
      <c r="B111" s="7" t="s">
        <v>226</v>
      </c>
      <c r="C111" s="8">
        <f>C108*C109*C110*C7*C76/1000/C18</f>
      </c>
      <c r="D111" s="6" t="s">
        <v>66</v>
      </c>
      <c r="E111" s="9" t="s">
        <v>227</v>
      </c>
    </row>
    <row r="112" spans="1:5" x14ac:dyDescent="0.25">
      <c r="A112" s="6" t="s">
        <v>209</v>
      </c>
      <c r="B112" s="7" t="s">
        <v>228</v>
      </c>
      <c r="C112" s="11">
        <f>C76/1.15</f>
      </c>
      <c r="D112" s="6" t="s">
        <v>11</v>
      </c>
      <c r="E112" s="9" t="s">
        <v>229</v>
      </c>
    </row>
    <row r="113" spans="1:5" x14ac:dyDescent="0.25">
      <c r="A113" s="6" t="s">
        <v>212</v>
      </c>
      <c r="B113" s="7" t="s">
        <v>230</v>
      </c>
      <c r="C113" s="8">
        <f>IF(C28&gt;0,C53*C39*C112/C28/1000/C19,0)</f>
      </c>
      <c r="D113" s="6" t="s">
        <v>66</v>
      </c>
      <c r="E113" s="9" t="s">
        <v>231</v>
      </c>
    </row>
    <row r="114" spans="1:5" s="14" customFormat="1" x14ac:dyDescent="0.25">
      <c r="A114" s="15" t="s">
        <v>215</v>
      </c>
      <c r="B114" s="15" t="s">
        <v>232</v>
      </c>
      <c r="C114" s="16">
        <f>C111+C113</f>
      </c>
      <c r="D114" s="15" t="s">
        <v>66</v>
      </c>
      <c r="E114" s="15" t="s">
        <v>233</v>
      </c>
    </row>
    <row r="116" ht="19" customHeight="1" spans="1:5" s="3" customFormat="1" x14ac:dyDescent="0.25">
      <c r="A116" s="3" t="s">
        <v>234</v>
      </c>
      <c r="B116" s="3"/>
      <c r="C116" s="3"/>
      <c r="D116" s="3"/>
      <c r="E116" s="3"/>
    </row>
    <row r="117" spans="1:5" s="4" customFormat="1" x14ac:dyDescent="0.25">
      <c r="A117" s="5" t="s">
        <v>4</v>
      </c>
      <c r="B117" s="5" t="s">
        <v>5</v>
      </c>
      <c r="C117" s="5" t="s">
        <v>6</v>
      </c>
      <c r="D117" s="5" t="s">
        <v>7</v>
      </c>
      <c r="E117" s="5" t="s">
        <v>8</v>
      </c>
    </row>
    <row r="118" spans="1:5" x14ac:dyDescent="0.25">
      <c r="A118" s="6" t="s">
        <v>235</v>
      </c>
      <c r="B118" s="7" t="s">
        <v>236</v>
      </c>
      <c r="C118" s="10">
        <f>C7*C8+(C46-C7)*C47</f>
      </c>
      <c r="D118" s="6" t="s">
        <v>42</v>
      </c>
      <c r="E118" s="9" t="s">
        <v>237</v>
      </c>
    </row>
    <row r="119" spans="1:5" s="14" customFormat="1" x14ac:dyDescent="0.25">
      <c r="A119" s="15" t="s">
        <v>238</v>
      </c>
      <c r="B119" s="15" t="s">
        <v>239</v>
      </c>
      <c r="C119" s="18">
        <f>(C43*C37*C118+(C51+C52)*C38)/1000/C20</f>
      </c>
      <c r="D119" s="15" t="s">
        <v>66</v>
      </c>
      <c r="E119" s="15" t="s">
        <v>240</v>
      </c>
    </row>
    <row r="121" ht="19" customHeight="1" spans="1:5" s="3" customFormat="1" x14ac:dyDescent="0.25">
      <c r="A121" s="3" t="s">
        <v>241</v>
      </c>
      <c r="B121" s="3"/>
      <c r="C121" s="3"/>
      <c r="D121" s="3"/>
      <c r="E121" s="3"/>
    </row>
    <row r="122" spans="1:5" s="4" customFormat="1" x14ac:dyDescent="0.25">
      <c r="A122" s="5" t="s">
        <v>4</v>
      </c>
      <c r="B122" s="5" t="s">
        <v>5</v>
      </c>
      <c r="C122" s="5" t="s">
        <v>6</v>
      </c>
      <c r="D122" s="5" t="s">
        <v>7</v>
      </c>
      <c r="E122" s="5" t="s">
        <v>8</v>
      </c>
    </row>
    <row r="123" spans="1:5" x14ac:dyDescent="0.25">
      <c r="A123" s="6" t="s">
        <v>242</v>
      </c>
      <c r="B123" s="7" t="s">
        <v>243</v>
      </c>
      <c r="C123" s="8">
        <f>C30*C31</f>
      </c>
      <c r="D123" s="6" t="s">
        <v>63</v>
      </c>
      <c r="E123" s="9" t="s">
        <v>244</v>
      </c>
    </row>
    <row r="124" spans="1:5" x14ac:dyDescent="0.25">
      <c r="A124" s="6" t="s">
        <v>245</v>
      </c>
      <c r="B124" s="7" t="s">
        <v>246</v>
      </c>
      <c r="C124" s="11">
        <f>C30*C32</f>
      </c>
      <c r="D124" s="6" t="s">
        <v>66</v>
      </c>
      <c r="E124" s="9" t="s">
        <v>247</v>
      </c>
    </row>
    <row r="125" spans="1:5" x14ac:dyDescent="0.25">
      <c r="A125" s="6" t="s">
        <v>248</v>
      </c>
      <c r="B125" s="7" t="s">
        <v>249</v>
      </c>
      <c r="C125" s="8">
        <v>378.500795193136</v>
      </c>
      <c r="D125" s="6" t="s">
        <v>63</v>
      </c>
      <c r="E125" s="9" t="s">
        <v>250</v>
      </c>
    </row>
    <row r="126" spans="1:5" x14ac:dyDescent="0.25">
      <c r="A126" s="6" t="s">
        <v>251</v>
      </c>
      <c r="B126" s="7" t="s">
        <v>252</v>
      </c>
      <c r="C126" s="11">
        <v>567.751192789704</v>
      </c>
      <c r="D126" s="6" t="s">
        <v>66</v>
      </c>
      <c r="E126" s="9" t="s">
        <v>250</v>
      </c>
    </row>
    <row r="127" spans="1:5" x14ac:dyDescent="0.25">
      <c r="A127" s="6" t="s">
        <v>253</v>
      </c>
      <c r="B127" s="7" t="s">
        <v>254</v>
      </c>
      <c r="C127" s="19">
        <f>SQRT(C123^2+C124^2)/SQRT(C125^2+C126^2)</f>
      </c>
      <c r="D127" s="6" t="s">
        <v>12</v>
      </c>
      <c r="E127" s="9" t="s">
        <v>255</v>
      </c>
    </row>
    <row r="128" spans="1:5" s="14" customFormat="1" x14ac:dyDescent="0.25">
      <c r="A128" s="15" t="s">
        <v>256</v>
      </c>
      <c r="B128" s="15" t="s">
        <v>257</v>
      </c>
      <c r="C128" s="20">
        <f>IF(C127&lt;=1,"OK","NG")</f>
      </c>
      <c r="D128" s="15" t="s">
        <v>12</v>
      </c>
      <c r="E128" s="15" t="s">
        <v>258</v>
      </c>
    </row>
    <row r="129" spans="1:5" x14ac:dyDescent="0.25">
      <c r="A129" s="6" t="s">
        <v>259</v>
      </c>
      <c r="B129" s="7" t="s">
        <v>260</v>
      </c>
      <c r="C129" s="8">
        <f>IF(C31&lt;0,C93,C72)</f>
      </c>
      <c r="D129" s="6" t="s">
        <v>63</v>
      </c>
      <c r="E129" s="9" t="s">
        <v>261</v>
      </c>
    </row>
    <row r="130" spans="1:5" x14ac:dyDescent="0.25">
      <c r="A130" s="6" t="s">
        <v>262</v>
      </c>
      <c r="B130" s="7" t="s">
        <v>263</v>
      </c>
      <c r="C130" s="8">
        <f>C32*C8/6/1000</f>
      </c>
      <c r="D130" s="6" t="s">
        <v>63</v>
      </c>
      <c r="E130" s="9" t="s">
        <v>264</v>
      </c>
    </row>
    <row r="131" spans="1:5" x14ac:dyDescent="0.25">
      <c r="A131" s="6" t="s">
        <v>265</v>
      </c>
      <c r="B131" s="7" t="s">
        <v>266</v>
      </c>
      <c r="C131" s="19">
        <f>IF(C129&gt;0,IF(C32&gt;=0,MIN(2,1+2*C130/C129),MAX(0,1+4*C130/C129)),1)</f>
      </c>
      <c r="D131" s="6" t="s">
        <v>12</v>
      </c>
      <c r="E131" s="9" t="s">
        <v>267</v>
      </c>
    </row>
    <row r="132" spans="1:5" x14ac:dyDescent="0.25">
      <c r="A132" s="6" t="s">
        <v>268</v>
      </c>
      <c r="B132" s="7" t="s">
        <v>269</v>
      </c>
      <c r="C132" s="8">
        <f>IF(C31&lt;0,C111,C102)*C131+IF(C31&lt;0,C113,C104)</f>
      </c>
      <c r="D132" s="6" t="s">
        <v>66</v>
      </c>
      <c r="E132" s="9" t="s">
        <v>270</v>
      </c>
    </row>
    <row r="133" spans="1:5" x14ac:dyDescent="0.25">
      <c r="A133" s="6" t="s">
        <v>271</v>
      </c>
      <c r="B133" s="7" t="s">
        <v>272</v>
      </c>
      <c r="C133" s="19">
        <f>C30*C33/C132</f>
      </c>
      <c r="D133" s="6" t="s">
        <v>12</v>
      </c>
      <c r="E133" s="9" t="s">
        <v>273</v>
      </c>
    </row>
    <row r="134" spans="1:5" s="14" customFormat="1" x14ac:dyDescent="0.25">
      <c r="A134" s="15" t="s">
        <v>256</v>
      </c>
      <c r="B134" s="15" t="s">
        <v>274</v>
      </c>
      <c r="C134" s="20">
        <f>IF(C133&lt;=1,"OK","NG")</f>
      </c>
      <c r="D134" s="15" t="s">
        <v>12</v>
      </c>
      <c r="E134" s="15" t="s">
        <v>275</v>
      </c>
    </row>
  </sheetData>
  <mergeCells count="13">
    <mergeCell ref="A1:E1"/>
    <mergeCell ref="A2:E2"/>
    <mergeCell ref="A5:E5"/>
    <mergeCell ref="A35:E35"/>
    <mergeCell ref="A41:E41"/>
    <mergeCell ref="A49:E49"/>
    <mergeCell ref="A55:E55"/>
    <mergeCell ref="A74:E74"/>
    <mergeCell ref="A95:E95"/>
    <mergeCell ref="A97:E97"/>
    <mergeCell ref="A106:E106"/>
    <mergeCell ref="A116:E116"/>
    <mergeCell ref="A121:E1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4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14" customWidth="1"/>
  </cols>
  <sheetData>
    <row r="1" spans="1:3" s="4" customFormat="1" x14ac:dyDescent="0.25">
      <c r="A1" s="4" t="s">
        <v>276</v>
      </c>
      <c r="B1" s="4" t="s">
        <v>277</v>
      </c>
      <c r="C1" s="4" t="s">
        <v>278</v>
      </c>
    </row>
    <row r="2" spans="1:3" s="14" customFormat="1" x14ac:dyDescent="0.25">
      <c r="A2" s="14" t="s">
        <v>279</v>
      </c>
      <c r="B2" s="14">
        <v>-158.55</v>
      </c>
      <c r="C2" s="14">
        <v>3890.4</v>
      </c>
    </row>
    <row r="3" spans="1:3" s="14" customFormat="1" x14ac:dyDescent="0.25">
      <c r="A3" s="14" t="s">
        <v>280</v>
      </c>
      <c r="B3" s="14">
        <v>440.71</v>
      </c>
      <c r="C3" s="14">
        <v>1727.4</v>
      </c>
    </row>
    <row r="4" spans="1:3" s="14" customFormat="1" x14ac:dyDescent="0.25">
      <c r="A4" s="14" t="s">
        <v>281</v>
      </c>
      <c r="B4" s="14">
        <v>302.56</v>
      </c>
      <c r="C4" s="14">
        <v>0</v>
      </c>
    </row>
    <row r="5" spans="1:3" s="14" customFormat="1" x14ac:dyDescent="0.25">
      <c r="A5" s="14" t="s">
        <v>282</v>
      </c>
      <c r="B5" s="14">
        <v>158.55</v>
      </c>
      <c r="C5" s="14">
        <v>-853</v>
      </c>
    </row>
    <row r="6" spans="1:3" s="14" customFormat="1" x14ac:dyDescent="0.25">
      <c r="A6" s="14" t="s">
        <v>283</v>
      </c>
      <c r="B6" s="14">
        <v>-58.82</v>
      </c>
      <c r="C6" s="14">
        <v>0</v>
      </c>
    </row>
    <row r="7" spans="1:3" s="14" customFormat="1" x14ac:dyDescent="0.25">
      <c r="A7" s="14" t="s">
        <v>284</v>
      </c>
      <c r="B7" s="14">
        <v>-436.08</v>
      </c>
      <c r="C7" s="14">
        <v>1922.6</v>
      </c>
    </row>
    <row r="9" spans="1:3" s="21" customFormat="1" x14ac:dyDescent="0.25">
      <c r="A9" s="21" t="s">
        <v>285</v>
      </c>
      <c r="B9" s="21" t="s">
        <v>277</v>
      </c>
      <c r="C9" s="21" t="s">
        <v>278</v>
      </c>
    </row>
    <row r="10" spans="1:3" x14ac:dyDescent="0.25">
      <c r="A10">
        <v>1</v>
      </c>
      <c r="B10">
        <v>158.55</v>
      </c>
      <c r="C10">
        <v>-853</v>
      </c>
    </row>
    <row r="11" spans="1:3" x14ac:dyDescent="0.25">
      <c r="A11">
        <v>2</v>
      </c>
      <c r="B11">
        <v>158.66</v>
      </c>
      <c r="C11">
        <v>-852.5</v>
      </c>
    </row>
    <row r="12" spans="1:3" x14ac:dyDescent="0.25">
      <c r="A12">
        <v>3</v>
      </c>
      <c r="B12">
        <v>158.67</v>
      </c>
      <c r="C12">
        <v>-852.4</v>
      </c>
    </row>
    <row r="13" spans="1:3" x14ac:dyDescent="0.25">
      <c r="A13">
        <v>4</v>
      </c>
      <c r="B13">
        <v>158.68</v>
      </c>
      <c r="C13">
        <v>-852.4</v>
      </c>
    </row>
    <row r="14" spans="1:3" x14ac:dyDescent="0.25">
      <c r="A14">
        <v>5</v>
      </c>
      <c r="B14">
        <v>158.68</v>
      </c>
      <c r="C14">
        <v>-852.3</v>
      </c>
    </row>
    <row r="15" spans="1:3" x14ac:dyDescent="0.25">
      <c r="A15">
        <v>6</v>
      </c>
      <c r="B15">
        <v>158.69</v>
      </c>
      <c r="C15">
        <v>-852.3</v>
      </c>
    </row>
    <row r="16" spans="1:3" x14ac:dyDescent="0.25">
      <c r="A16">
        <v>7</v>
      </c>
      <c r="B16">
        <v>158.7</v>
      </c>
      <c r="C16">
        <v>-852.3</v>
      </c>
    </row>
    <row r="17" spans="1:3" x14ac:dyDescent="0.25">
      <c r="A17">
        <v>8</v>
      </c>
      <c r="B17">
        <v>158.71</v>
      </c>
      <c r="C17">
        <v>-852.2</v>
      </c>
    </row>
    <row r="18" spans="1:3" x14ac:dyDescent="0.25">
      <c r="A18">
        <v>9</v>
      </c>
      <c r="B18">
        <v>158.72</v>
      </c>
      <c r="C18">
        <v>-852.2</v>
      </c>
    </row>
    <row r="19" spans="1:3" x14ac:dyDescent="0.25">
      <c r="A19">
        <v>10</v>
      </c>
      <c r="B19">
        <v>158.73</v>
      </c>
      <c r="C19">
        <v>-852.1</v>
      </c>
    </row>
    <row r="20" spans="1:3" x14ac:dyDescent="0.25">
      <c r="A20">
        <v>11</v>
      </c>
      <c r="B20">
        <v>158.74</v>
      </c>
      <c r="C20">
        <v>-852.1</v>
      </c>
    </row>
    <row r="21" spans="1:3" x14ac:dyDescent="0.25">
      <c r="A21">
        <v>12</v>
      </c>
      <c r="B21">
        <v>158.75</v>
      </c>
      <c r="C21">
        <v>-852</v>
      </c>
    </row>
    <row r="22" spans="1:3" x14ac:dyDescent="0.25">
      <c r="A22">
        <v>13</v>
      </c>
      <c r="B22">
        <v>158.76</v>
      </c>
      <c r="C22">
        <v>-852</v>
      </c>
    </row>
    <row r="23" spans="1:3" x14ac:dyDescent="0.25">
      <c r="A23">
        <v>14</v>
      </c>
      <c r="B23">
        <v>158.77</v>
      </c>
      <c r="C23">
        <v>-851.9</v>
      </c>
    </row>
    <row r="24" spans="1:3" x14ac:dyDescent="0.25">
      <c r="A24">
        <v>15</v>
      </c>
      <c r="B24">
        <v>158.79</v>
      </c>
      <c r="C24">
        <v>-851.8</v>
      </c>
    </row>
    <row r="25" spans="1:3" x14ac:dyDescent="0.25">
      <c r="A25">
        <v>16</v>
      </c>
      <c r="B25">
        <v>158.8</v>
      </c>
      <c r="C25">
        <v>-851.8</v>
      </c>
    </row>
    <row r="26" spans="1:3" x14ac:dyDescent="0.25">
      <c r="A26">
        <v>17</v>
      </c>
      <c r="B26">
        <v>158.82</v>
      </c>
      <c r="C26">
        <v>-851.7</v>
      </c>
    </row>
    <row r="27" spans="1:3" x14ac:dyDescent="0.25">
      <c r="A27">
        <v>18</v>
      </c>
      <c r="B27">
        <v>158.83</v>
      </c>
      <c r="C27">
        <v>-851.6</v>
      </c>
    </row>
    <row r="28" spans="1:3" x14ac:dyDescent="0.25">
      <c r="A28">
        <v>19</v>
      </c>
      <c r="B28">
        <v>158.85</v>
      </c>
      <c r="C28">
        <v>-851.5</v>
      </c>
    </row>
    <row r="29" spans="1:3" x14ac:dyDescent="0.25">
      <c r="A29">
        <v>20</v>
      </c>
      <c r="B29">
        <v>158.87</v>
      </c>
      <c r="C29">
        <v>-851.4</v>
      </c>
    </row>
    <row r="30" spans="1:3" x14ac:dyDescent="0.25">
      <c r="A30">
        <v>21</v>
      </c>
      <c r="B30">
        <v>158.89</v>
      </c>
      <c r="C30">
        <v>-851.3</v>
      </c>
    </row>
    <row r="31" spans="1:3" x14ac:dyDescent="0.25">
      <c r="A31">
        <v>22</v>
      </c>
      <c r="B31">
        <v>158.91</v>
      </c>
      <c r="C31">
        <v>-851.2</v>
      </c>
    </row>
    <row r="32" spans="1:3" x14ac:dyDescent="0.25">
      <c r="A32">
        <v>23</v>
      </c>
      <c r="B32">
        <v>158.93</v>
      </c>
      <c r="C32">
        <v>-851.1</v>
      </c>
    </row>
    <row r="33" spans="1:3" x14ac:dyDescent="0.25">
      <c r="A33">
        <v>24</v>
      </c>
      <c r="B33">
        <v>158.95</v>
      </c>
      <c r="C33">
        <v>-851</v>
      </c>
    </row>
    <row r="34" spans="1:3" x14ac:dyDescent="0.25">
      <c r="A34">
        <v>25</v>
      </c>
      <c r="B34">
        <v>158.97</v>
      </c>
      <c r="C34">
        <v>-850.9</v>
      </c>
    </row>
    <row r="35" spans="1:3" x14ac:dyDescent="0.25">
      <c r="A35">
        <v>26</v>
      </c>
      <c r="B35">
        <v>159</v>
      </c>
      <c r="C35">
        <v>-850.8</v>
      </c>
    </row>
    <row r="36" spans="1:3" x14ac:dyDescent="0.25">
      <c r="A36">
        <v>27</v>
      </c>
      <c r="B36">
        <v>159.02</v>
      </c>
      <c r="C36">
        <v>-850.6</v>
      </c>
    </row>
    <row r="37" spans="1:3" x14ac:dyDescent="0.25">
      <c r="A37">
        <v>28</v>
      </c>
      <c r="B37">
        <v>159.05</v>
      </c>
      <c r="C37">
        <v>-850.5</v>
      </c>
    </row>
    <row r="38" spans="1:3" x14ac:dyDescent="0.25">
      <c r="A38">
        <v>29</v>
      </c>
      <c r="B38">
        <v>159.08</v>
      </c>
      <c r="C38">
        <v>-850.3</v>
      </c>
    </row>
    <row r="39" spans="1:3" x14ac:dyDescent="0.25">
      <c r="A39">
        <v>30</v>
      </c>
      <c r="B39">
        <v>159.11</v>
      </c>
      <c r="C39">
        <v>-850.2</v>
      </c>
    </row>
    <row r="40" spans="1:3" x14ac:dyDescent="0.25">
      <c r="A40">
        <v>31</v>
      </c>
      <c r="B40">
        <v>159.14</v>
      </c>
      <c r="C40">
        <v>-850</v>
      </c>
    </row>
    <row r="41" spans="1:3" x14ac:dyDescent="0.25">
      <c r="A41">
        <v>32</v>
      </c>
      <c r="B41">
        <v>159.18</v>
      </c>
      <c r="C41">
        <v>-849.8</v>
      </c>
    </row>
    <row r="42" spans="1:3" x14ac:dyDescent="0.25">
      <c r="A42">
        <v>33</v>
      </c>
      <c r="B42">
        <v>159.22</v>
      </c>
      <c r="C42">
        <v>-849.6</v>
      </c>
    </row>
    <row r="43" spans="1:3" x14ac:dyDescent="0.25">
      <c r="A43">
        <v>34</v>
      </c>
      <c r="B43">
        <v>159.26</v>
      </c>
      <c r="C43">
        <v>-849.4</v>
      </c>
    </row>
    <row r="44" spans="1:3" x14ac:dyDescent="0.25">
      <c r="A44">
        <v>35</v>
      </c>
      <c r="B44">
        <v>159.3</v>
      </c>
      <c r="C44">
        <v>-849.2</v>
      </c>
    </row>
    <row r="45" spans="1:3" x14ac:dyDescent="0.25">
      <c r="A45">
        <v>36</v>
      </c>
      <c r="B45">
        <v>159.34</v>
      </c>
      <c r="C45">
        <v>-849</v>
      </c>
    </row>
    <row r="46" spans="1:3" x14ac:dyDescent="0.25">
      <c r="A46">
        <v>37</v>
      </c>
      <c r="B46">
        <v>159.39</v>
      </c>
      <c r="C46">
        <v>-848.7</v>
      </c>
    </row>
    <row r="47" spans="1:3" x14ac:dyDescent="0.25">
      <c r="A47">
        <v>38</v>
      </c>
      <c r="B47">
        <v>159.44</v>
      </c>
      <c r="C47">
        <v>-848.5</v>
      </c>
    </row>
    <row r="48" spans="1:3" x14ac:dyDescent="0.25">
      <c r="A48">
        <v>39</v>
      </c>
      <c r="B48">
        <v>159.49</v>
      </c>
      <c r="C48">
        <v>-848.2</v>
      </c>
    </row>
    <row r="49" spans="1:3" x14ac:dyDescent="0.25">
      <c r="A49">
        <v>40</v>
      </c>
      <c r="B49">
        <v>159.55</v>
      </c>
      <c r="C49">
        <v>-847.9</v>
      </c>
    </row>
    <row r="50" spans="1:3" x14ac:dyDescent="0.25">
      <c r="A50">
        <v>41</v>
      </c>
      <c r="B50">
        <v>159.61</v>
      </c>
      <c r="C50">
        <v>-847.6</v>
      </c>
    </row>
    <row r="51" spans="1:3" x14ac:dyDescent="0.25">
      <c r="A51">
        <v>42</v>
      </c>
      <c r="B51">
        <v>159.67</v>
      </c>
      <c r="C51">
        <v>-847.3</v>
      </c>
    </row>
    <row r="52" spans="1:3" x14ac:dyDescent="0.25">
      <c r="A52">
        <v>43</v>
      </c>
      <c r="B52">
        <v>159.73</v>
      </c>
      <c r="C52">
        <v>-847</v>
      </c>
    </row>
    <row r="53" spans="1:3" x14ac:dyDescent="0.25">
      <c r="A53">
        <v>44</v>
      </c>
      <c r="B53">
        <v>159.8</v>
      </c>
      <c r="C53">
        <v>-846.6</v>
      </c>
    </row>
    <row r="54" spans="1:3" x14ac:dyDescent="0.25">
      <c r="A54">
        <v>45</v>
      </c>
      <c r="B54">
        <v>159.88</v>
      </c>
      <c r="C54">
        <v>-846.2</v>
      </c>
    </row>
    <row r="55" spans="1:3" x14ac:dyDescent="0.25">
      <c r="A55">
        <v>46</v>
      </c>
      <c r="B55">
        <v>159.96</v>
      </c>
      <c r="C55">
        <v>-845.8</v>
      </c>
    </row>
    <row r="56" spans="1:3" x14ac:dyDescent="0.25">
      <c r="A56">
        <v>47</v>
      </c>
      <c r="B56">
        <v>160.04</v>
      </c>
      <c r="C56">
        <v>-845.4</v>
      </c>
    </row>
    <row r="57" spans="1:3" x14ac:dyDescent="0.25">
      <c r="A57">
        <v>48</v>
      </c>
      <c r="B57">
        <v>160.13</v>
      </c>
      <c r="C57">
        <v>-845</v>
      </c>
    </row>
    <row r="58" spans="1:3" x14ac:dyDescent="0.25">
      <c r="A58">
        <v>49</v>
      </c>
      <c r="B58">
        <v>160.22</v>
      </c>
      <c r="C58">
        <v>-844.5</v>
      </c>
    </row>
    <row r="59" spans="1:3" x14ac:dyDescent="0.25">
      <c r="A59">
        <v>50</v>
      </c>
      <c r="B59">
        <v>160.32</v>
      </c>
      <c r="C59">
        <v>-844</v>
      </c>
    </row>
    <row r="60" spans="1:3" x14ac:dyDescent="0.25">
      <c r="A60">
        <v>51</v>
      </c>
      <c r="B60">
        <v>160.42</v>
      </c>
      <c r="C60">
        <v>-843.4</v>
      </c>
    </row>
    <row r="61" spans="1:3" x14ac:dyDescent="0.25">
      <c r="A61">
        <v>52</v>
      </c>
      <c r="B61">
        <v>160.53</v>
      </c>
      <c r="C61">
        <v>-842.9</v>
      </c>
    </row>
    <row r="62" spans="1:3" x14ac:dyDescent="0.25">
      <c r="A62">
        <v>53</v>
      </c>
      <c r="B62">
        <v>160.65</v>
      </c>
      <c r="C62">
        <v>-842.3</v>
      </c>
    </row>
    <row r="63" spans="1:3" x14ac:dyDescent="0.25">
      <c r="A63">
        <v>54</v>
      </c>
      <c r="B63">
        <v>160.78</v>
      </c>
      <c r="C63">
        <v>-841.6</v>
      </c>
    </row>
    <row r="64" spans="1:3" x14ac:dyDescent="0.25">
      <c r="A64">
        <v>55</v>
      </c>
      <c r="B64">
        <v>160.91</v>
      </c>
      <c r="C64">
        <v>-841</v>
      </c>
    </row>
    <row r="65" spans="1:3" x14ac:dyDescent="0.25">
      <c r="A65">
        <v>56</v>
      </c>
      <c r="B65">
        <v>161.05</v>
      </c>
      <c r="C65">
        <v>-840.3</v>
      </c>
    </row>
    <row r="66" spans="1:3" x14ac:dyDescent="0.25">
      <c r="A66">
        <v>57</v>
      </c>
      <c r="B66">
        <v>161.19</v>
      </c>
      <c r="C66">
        <v>-839.5</v>
      </c>
    </row>
    <row r="67" spans="1:3" x14ac:dyDescent="0.25">
      <c r="A67">
        <v>58</v>
      </c>
      <c r="B67">
        <v>161.35</v>
      </c>
      <c r="C67">
        <v>-838.7</v>
      </c>
    </row>
    <row r="68" spans="1:3" x14ac:dyDescent="0.25">
      <c r="A68">
        <v>59</v>
      </c>
      <c r="B68">
        <v>161.52</v>
      </c>
      <c r="C68">
        <v>-837.8</v>
      </c>
    </row>
    <row r="69" spans="1:3" x14ac:dyDescent="0.25">
      <c r="A69">
        <v>60</v>
      </c>
      <c r="B69">
        <v>161.69</v>
      </c>
      <c r="C69">
        <v>-836.9</v>
      </c>
    </row>
    <row r="70" spans="1:3" x14ac:dyDescent="0.25">
      <c r="A70">
        <v>61</v>
      </c>
      <c r="B70">
        <v>161.88</v>
      </c>
      <c r="C70">
        <v>-836</v>
      </c>
    </row>
    <row r="71" spans="1:3" x14ac:dyDescent="0.25">
      <c r="A71">
        <v>62</v>
      </c>
      <c r="B71">
        <v>162.07</v>
      </c>
      <c r="C71">
        <v>-835</v>
      </c>
    </row>
    <row r="72" spans="1:3" x14ac:dyDescent="0.25">
      <c r="A72">
        <v>63</v>
      </c>
      <c r="B72">
        <v>162.28</v>
      </c>
      <c r="C72">
        <v>-833.9</v>
      </c>
    </row>
    <row r="73" spans="1:3" x14ac:dyDescent="0.25">
      <c r="A73">
        <v>64</v>
      </c>
      <c r="B73">
        <v>162.5</v>
      </c>
      <c r="C73">
        <v>-832.8</v>
      </c>
    </row>
    <row r="74" spans="1:3" x14ac:dyDescent="0.25">
      <c r="A74">
        <v>65</v>
      </c>
      <c r="B74">
        <v>162.73</v>
      </c>
      <c r="C74">
        <v>-831.6</v>
      </c>
    </row>
    <row r="75" spans="1:3" x14ac:dyDescent="0.25">
      <c r="A75">
        <v>66</v>
      </c>
      <c r="B75">
        <v>162.98</v>
      </c>
      <c r="C75">
        <v>-830.3</v>
      </c>
    </row>
    <row r="76" spans="1:3" x14ac:dyDescent="0.25">
      <c r="A76">
        <v>67</v>
      </c>
      <c r="B76">
        <v>163.24</v>
      </c>
      <c r="C76">
        <v>-829</v>
      </c>
    </row>
    <row r="77" spans="1:3" x14ac:dyDescent="0.25">
      <c r="A77">
        <v>68</v>
      </c>
      <c r="B77">
        <v>163.52</v>
      </c>
      <c r="C77">
        <v>-827.5</v>
      </c>
    </row>
    <row r="78" spans="1:3" x14ac:dyDescent="0.25">
      <c r="A78">
        <v>69</v>
      </c>
      <c r="B78">
        <v>163.81</v>
      </c>
      <c r="C78">
        <v>-826</v>
      </c>
    </row>
    <row r="79" spans="1:3" x14ac:dyDescent="0.25">
      <c r="A79">
        <v>70</v>
      </c>
      <c r="B79">
        <v>164.12</v>
      </c>
      <c r="C79">
        <v>-824.4</v>
      </c>
    </row>
    <row r="80" spans="1:3" x14ac:dyDescent="0.25">
      <c r="A80">
        <v>71</v>
      </c>
      <c r="B80">
        <v>164.45</v>
      </c>
      <c r="C80">
        <v>-822.7</v>
      </c>
    </row>
    <row r="81" spans="1:3" x14ac:dyDescent="0.25">
      <c r="A81">
        <v>72</v>
      </c>
      <c r="B81">
        <v>164.8</v>
      </c>
      <c r="C81">
        <v>-820.9</v>
      </c>
    </row>
    <row r="82" spans="1:3" x14ac:dyDescent="0.25">
      <c r="A82">
        <v>73</v>
      </c>
      <c r="B82">
        <v>165.16</v>
      </c>
      <c r="C82">
        <v>-819</v>
      </c>
    </row>
    <row r="83" spans="1:3" x14ac:dyDescent="0.25">
      <c r="A83">
        <v>74</v>
      </c>
      <c r="B83">
        <v>165.55</v>
      </c>
      <c r="C83">
        <v>-817</v>
      </c>
    </row>
    <row r="84" spans="1:3" x14ac:dyDescent="0.25">
      <c r="A84">
        <v>75</v>
      </c>
      <c r="B84">
        <v>165.97</v>
      </c>
      <c r="C84">
        <v>-814.9</v>
      </c>
    </row>
    <row r="85" spans="1:3" x14ac:dyDescent="0.25">
      <c r="A85">
        <v>76</v>
      </c>
      <c r="B85">
        <v>166.4</v>
      </c>
      <c r="C85">
        <v>-812.6</v>
      </c>
    </row>
    <row r="86" spans="1:3" x14ac:dyDescent="0.25">
      <c r="A86">
        <v>77</v>
      </c>
      <c r="B86">
        <v>166.86</v>
      </c>
      <c r="C86">
        <v>-810.2</v>
      </c>
    </row>
    <row r="87" spans="1:3" x14ac:dyDescent="0.25">
      <c r="A87">
        <v>78</v>
      </c>
      <c r="B87">
        <v>167.35</v>
      </c>
      <c r="C87">
        <v>-807.7</v>
      </c>
    </row>
    <row r="88" spans="1:3" x14ac:dyDescent="0.25">
      <c r="A88">
        <v>79</v>
      </c>
      <c r="B88">
        <v>167.87</v>
      </c>
      <c r="C88">
        <v>-805</v>
      </c>
    </row>
    <row r="89" spans="1:3" x14ac:dyDescent="0.25">
      <c r="A89">
        <v>80</v>
      </c>
      <c r="B89">
        <v>168.41</v>
      </c>
      <c r="C89">
        <v>-802.2</v>
      </c>
    </row>
    <row r="90" spans="1:3" x14ac:dyDescent="0.25">
      <c r="A90">
        <v>81</v>
      </c>
      <c r="B90">
        <v>168.99</v>
      </c>
      <c r="C90">
        <v>-799.2</v>
      </c>
    </row>
    <row r="91" spans="1:3" x14ac:dyDescent="0.25">
      <c r="A91">
        <v>82</v>
      </c>
      <c r="B91">
        <v>169.61</v>
      </c>
      <c r="C91">
        <v>-796</v>
      </c>
    </row>
    <row r="92" spans="1:3" x14ac:dyDescent="0.25">
      <c r="A92">
        <v>83</v>
      </c>
      <c r="B92">
        <v>170.25</v>
      </c>
      <c r="C92">
        <v>-792.6</v>
      </c>
    </row>
    <row r="93" spans="1:3" x14ac:dyDescent="0.25">
      <c r="A93">
        <v>84</v>
      </c>
      <c r="B93">
        <v>170.94</v>
      </c>
      <c r="C93">
        <v>-789</v>
      </c>
    </row>
    <row r="94" spans="1:3" x14ac:dyDescent="0.25">
      <c r="A94">
        <v>85</v>
      </c>
      <c r="B94">
        <v>171.66</v>
      </c>
      <c r="C94">
        <v>-785.2</v>
      </c>
    </row>
    <row r="95" spans="1:3" x14ac:dyDescent="0.25">
      <c r="A95">
        <v>86</v>
      </c>
      <c r="B95">
        <v>172.43</v>
      </c>
      <c r="C95">
        <v>-781.2</v>
      </c>
    </row>
    <row r="96" spans="1:3" x14ac:dyDescent="0.25">
      <c r="A96">
        <v>87</v>
      </c>
      <c r="B96">
        <v>173.24</v>
      </c>
      <c r="C96">
        <v>-776.9</v>
      </c>
    </row>
    <row r="97" spans="1:3" x14ac:dyDescent="0.25">
      <c r="A97">
        <v>88</v>
      </c>
      <c r="B97">
        <v>174.1</v>
      </c>
      <c r="C97">
        <v>-772.4</v>
      </c>
    </row>
    <row r="98" spans="1:3" x14ac:dyDescent="0.25">
      <c r="A98">
        <v>89</v>
      </c>
      <c r="B98">
        <v>175.01</v>
      </c>
      <c r="C98">
        <v>-767.6</v>
      </c>
    </row>
    <row r="99" spans="1:3" x14ac:dyDescent="0.25">
      <c r="A99">
        <v>90</v>
      </c>
      <c r="B99">
        <v>175.97</v>
      </c>
      <c r="C99">
        <v>-762.6</v>
      </c>
    </row>
    <row r="100" spans="1:3" x14ac:dyDescent="0.25">
      <c r="A100">
        <v>91</v>
      </c>
      <c r="B100">
        <v>176.98</v>
      </c>
      <c r="C100">
        <v>-757.2</v>
      </c>
    </row>
    <row r="101" spans="1:3" x14ac:dyDescent="0.25">
      <c r="A101">
        <v>92</v>
      </c>
      <c r="B101">
        <v>178.05</v>
      </c>
      <c r="C101">
        <v>-751.6</v>
      </c>
    </row>
    <row r="102" spans="1:3" x14ac:dyDescent="0.25">
      <c r="A102">
        <v>93</v>
      </c>
      <c r="B102">
        <v>179.18</v>
      </c>
      <c r="C102">
        <v>-745.5</v>
      </c>
    </row>
    <row r="103" spans="1:3" x14ac:dyDescent="0.25">
      <c r="A103">
        <v>94</v>
      </c>
      <c r="B103">
        <v>180.38</v>
      </c>
      <c r="C103">
        <v>-739.2</v>
      </c>
    </row>
    <row r="104" spans="1:3" x14ac:dyDescent="0.25">
      <c r="A104">
        <v>95</v>
      </c>
      <c r="B104">
        <v>181.65</v>
      </c>
      <c r="C104">
        <v>-732.4</v>
      </c>
    </row>
    <row r="105" spans="1:3" x14ac:dyDescent="0.25">
      <c r="A105">
        <v>96</v>
      </c>
      <c r="B105">
        <v>182.98</v>
      </c>
      <c r="C105">
        <v>-725.3</v>
      </c>
    </row>
    <row r="106" spans="1:3" x14ac:dyDescent="0.25">
      <c r="A106">
        <v>97</v>
      </c>
      <c r="B106">
        <v>184.39</v>
      </c>
      <c r="C106">
        <v>-717.7</v>
      </c>
    </row>
    <row r="107" spans="1:3" x14ac:dyDescent="0.25">
      <c r="A107">
        <v>98</v>
      </c>
      <c r="B107">
        <v>185.88</v>
      </c>
      <c r="C107">
        <v>-709.7</v>
      </c>
    </row>
    <row r="108" spans="1:3" x14ac:dyDescent="0.25">
      <c r="A108">
        <v>99</v>
      </c>
      <c r="B108">
        <v>187.46</v>
      </c>
      <c r="C108">
        <v>-701.2</v>
      </c>
    </row>
    <row r="109" spans="1:3" x14ac:dyDescent="0.25">
      <c r="A109">
        <v>100</v>
      </c>
      <c r="B109">
        <v>189.12</v>
      </c>
      <c r="C109">
        <v>-692.2</v>
      </c>
    </row>
    <row r="110" spans="1:3" x14ac:dyDescent="0.25">
      <c r="A110">
        <v>101</v>
      </c>
      <c r="B110">
        <v>190.88</v>
      </c>
      <c r="C110">
        <v>-682.7</v>
      </c>
    </row>
    <row r="111" spans="1:3" x14ac:dyDescent="0.25">
      <c r="A111">
        <v>102</v>
      </c>
      <c r="B111">
        <v>192.73</v>
      </c>
      <c r="C111">
        <v>-672.6</v>
      </c>
    </row>
    <row r="112" spans="1:3" x14ac:dyDescent="0.25">
      <c r="A112">
        <v>103</v>
      </c>
      <c r="B112">
        <v>194.68</v>
      </c>
      <c r="C112">
        <v>-661.9</v>
      </c>
    </row>
    <row r="113" spans="1:3" x14ac:dyDescent="0.25">
      <c r="A113">
        <v>104</v>
      </c>
      <c r="B113">
        <v>196.74</v>
      </c>
      <c r="C113">
        <v>-650.6</v>
      </c>
    </row>
    <row r="114" spans="1:3" x14ac:dyDescent="0.25">
      <c r="A114">
        <v>105</v>
      </c>
      <c r="B114">
        <v>198.91</v>
      </c>
      <c r="C114">
        <v>-638.6</v>
      </c>
    </row>
    <row r="115" spans="1:3" x14ac:dyDescent="0.25">
      <c r="A115">
        <v>106</v>
      </c>
      <c r="B115">
        <v>201.2</v>
      </c>
      <c r="C115">
        <v>-625.9</v>
      </c>
    </row>
    <row r="116" spans="1:3" x14ac:dyDescent="0.25">
      <c r="A116">
        <v>107</v>
      </c>
      <c r="B116">
        <v>203.62</v>
      </c>
      <c r="C116">
        <v>-612.4</v>
      </c>
    </row>
    <row r="117" spans="1:3" x14ac:dyDescent="0.25">
      <c r="A117">
        <v>108</v>
      </c>
      <c r="B117">
        <v>206.16</v>
      </c>
      <c r="C117">
        <v>-598.1</v>
      </c>
    </row>
    <row r="118" spans="1:3" x14ac:dyDescent="0.25">
      <c r="A118">
        <v>109</v>
      </c>
      <c r="B118">
        <v>208.84</v>
      </c>
      <c r="C118">
        <v>-583</v>
      </c>
    </row>
    <row r="119" spans="1:3" x14ac:dyDescent="0.25">
      <c r="A119">
        <v>110</v>
      </c>
      <c r="B119">
        <v>211.66</v>
      </c>
      <c r="C119">
        <v>-567</v>
      </c>
    </row>
    <row r="120" spans="1:3" x14ac:dyDescent="0.25">
      <c r="A120">
        <v>111</v>
      </c>
      <c r="B120">
        <v>214.62</v>
      </c>
      <c r="C120">
        <v>-550.1</v>
      </c>
    </row>
    <row r="121" spans="1:3" x14ac:dyDescent="0.25">
      <c r="A121">
        <v>112</v>
      </c>
      <c r="B121">
        <v>220.51</v>
      </c>
      <c r="C121">
        <v>-514.4</v>
      </c>
    </row>
    <row r="122" spans="1:3" x14ac:dyDescent="0.25">
      <c r="A122">
        <v>113</v>
      </c>
      <c r="B122">
        <v>226.92</v>
      </c>
      <c r="C122">
        <v>-475.3</v>
      </c>
    </row>
    <row r="123" spans="1:3" x14ac:dyDescent="0.25">
      <c r="A123">
        <v>114</v>
      </c>
      <c r="B123">
        <v>233.33</v>
      </c>
      <c r="C123">
        <v>-436.1</v>
      </c>
    </row>
    <row r="124" spans="1:3" x14ac:dyDescent="0.25">
      <c r="A124">
        <v>115</v>
      </c>
      <c r="B124">
        <v>239.74</v>
      </c>
      <c r="C124">
        <v>-396.9</v>
      </c>
    </row>
    <row r="125" spans="1:3" x14ac:dyDescent="0.25">
      <c r="A125">
        <v>116</v>
      </c>
      <c r="B125">
        <v>246.18</v>
      </c>
      <c r="C125">
        <v>-357.3</v>
      </c>
    </row>
    <row r="126" spans="1:3" x14ac:dyDescent="0.25">
      <c r="A126">
        <v>117</v>
      </c>
      <c r="B126">
        <v>252.65</v>
      </c>
      <c r="C126">
        <v>-317.4</v>
      </c>
    </row>
    <row r="127" spans="1:3" x14ac:dyDescent="0.25">
      <c r="A127">
        <v>118</v>
      </c>
      <c r="B127">
        <v>259.18</v>
      </c>
      <c r="C127">
        <v>-277</v>
      </c>
    </row>
    <row r="128" spans="1:3" x14ac:dyDescent="0.25">
      <c r="A128">
        <v>119</v>
      </c>
      <c r="B128">
        <v>265.77</v>
      </c>
      <c r="C128">
        <v>-235.9</v>
      </c>
    </row>
    <row r="129" spans="1:3" x14ac:dyDescent="0.25">
      <c r="A129">
        <v>120</v>
      </c>
      <c r="B129">
        <v>272.45</v>
      </c>
      <c r="C129">
        <v>-194</v>
      </c>
    </row>
    <row r="130" spans="1:3" x14ac:dyDescent="0.25">
      <c r="A130">
        <v>121</v>
      </c>
      <c r="B130">
        <v>279.22</v>
      </c>
      <c r="C130">
        <v>-151.2</v>
      </c>
    </row>
    <row r="131" spans="1:3" x14ac:dyDescent="0.25">
      <c r="A131">
        <v>122</v>
      </c>
      <c r="B131">
        <v>286.09</v>
      </c>
      <c r="C131">
        <v>-107.3</v>
      </c>
    </row>
    <row r="132" spans="1:3" x14ac:dyDescent="0.25">
      <c r="A132">
        <v>123</v>
      </c>
      <c r="B132">
        <v>293.08</v>
      </c>
      <c r="C132">
        <v>-62.1</v>
      </c>
    </row>
    <row r="133" spans="1:3" x14ac:dyDescent="0.25">
      <c r="A133">
        <v>124</v>
      </c>
      <c r="B133">
        <v>300.19</v>
      </c>
      <c r="C133">
        <v>-15.7</v>
      </c>
    </row>
    <row r="134" spans="1:3" x14ac:dyDescent="0.25">
      <c r="A134">
        <v>125</v>
      </c>
      <c r="B134">
        <v>307.43</v>
      </c>
      <c r="C134">
        <v>32.4</v>
      </c>
    </row>
    <row r="135" spans="1:3" x14ac:dyDescent="0.25">
      <c r="A135">
        <v>126</v>
      </c>
      <c r="B135">
        <v>314.81</v>
      </c>
      <c r="C135">
        <v>82.1</v>
      </c>
    </row>
    <row r="136" spans="1:3" x14ac:dyDescent="0.25">
      <c r="A136">
        <v>127</v>
      </c>
      <c r="B136">
        <v>322.33</v>
      </c>
      <c r="C136">
        <v>133.6</v>
      </c>
    </row>
    <row r="137" spans="1:3" x14ac:dyDescent="0.25">
      <c r="A137">
        <v>128</v>
      </c>
      <c r="B137">
        <v>330</v>
      </c>
      <c r="C137">
        <v>187.2</v>
      </c>
    </row>
    <row r="138" spans="1:3" x14ac:dyDescent="0.25">
      <c r="A138">
        <v>129</v>
      </c>
      <c r="B138">
        <v>337.82</v>
      </c>
      <c r="C138">
        <v>243</v>
      </c>
    </row>
    <row r="139" spans="1:3" x14ac:dyDescent="0.25">
      <c r="A139">
        <v>130</v>
      </c>
      <c r="B139">
        <v>345.68</v>
      </c>
      <c r="C139">
        <v>300.5</v>
      </c>
    </row>
    <row r="140" spans="1:3" x14ac:dyDescent="0.25">
      <c r="A140">
        <v>131</v>
      </c>
      <c r="B140">
        <v>352.67</v>
      </c>
      <c r="C140">
        <v>354.1</v>
      </c>
    </row>
    <row r="141" spans="1:3" x14ac:dyDescent="0.25">
      <c r="A141">
        <v>132</v>
      </c>
      <c r="B141">
        <v>359.86</v>
      </c>
      <c r="C141">
        <v>410.9</v>
      </c>
    </row>
    <row r="142" spans="1:3" x14ac:dyDescent="0.25">
      <c r="A142">
        <v>133</v>
      </c>
      <c r="B142">
        <v>367.22</v>
      </c>
      <c r="C142">
        <v>471</v>
      </c>
    </row>
    <row r="143" spans="1:3" x14ac:dyDescent="0.25">
      <c r="A143">
        <v>134</v>
      </c>
      <c r="B143">
        <v>374.75</v>
      </c>
      <c r="C143">
        <v>534.7</v>
      </c>
    </row>
    <row r="144" spans="1:3" x14ac:dyDescent="0.25">
      <c r="A144">
        <v>135</v>
      </c>
      <c r="B144">
        <v>382.41</v>
      </c>
      <c r="C144">
        <v>602.1</v>
      </c>
    </row>
    <row r="145" spans="1:3" x14ac:dyDescent="0.25">
      <c r="A145">
        <v>136</v>
      </c>
      <c r="B145">
        <v>390.17</v>
      </c>
      <c r="C145">
        <v>673.6</v>
      </c>
    </row>
    <row r="146" spans="1:3" x14ac:dyDescent="0.25">
      <c r="A146">
        <v>137</v>
      </c>
      <c r="B146">
        <v>398.01</v>
      </c>
      <c r="C146">
        <v>749.3</v>
      </c>
    </row>
    <row r="147" spans="1:3" x14ac:dyDescent="0.25">
      <c r="A147">
        <v>138</v>
      </c>
      <c r="B147">
        <v>405.87</v>
      </c>
      <c r="C147">
        <v>829.5</v>
      </c>
    </row>
    <row r="148" spans="1:3" x14ac:dyDescent="0.25">
      <c r="A148">
        <v>139</v>
      </c>
      <c r="B148">
        <v>413.7</v>
      </c>
      <c r="C148">
        <v>914.4</v>
      </c>
    </row>
    <row r="149" spans="1:3" x14ac:dyDescent="0.25">
      <c r="A149">
        <v>140</v>
      </c>
      <c r="B149">
        <v>421.45</v>
      </c>
      <c r="C149">
        <v>1004.4</v>
      </c>
    </row>
    <row r="150" spans="1:3" x14ac:dyDescent="0.25">
      <c r="A150">
        <v>141</v>
      </c>
      <c r="B150">
        <v>429.04</v>
      </c>
      <c r="C150">
        <v>1099.7</v>
      </c>
    </row>
    <row r="151" spans="1:3" x14ac:dyDescent="0.25">
      <c r="A151">
        <v>142</v>
      </c>
      <c r="B151">
        <v>432.19</v>
      </c>
      <c r="C151">
        <v>1142.7</v>
      </c>
    </row>
    <row r="152" spans="1:3" x14ac:dyDescent="0.25">
      <c r="A152">
        <v>143</v>
      </c>
      <c r="B152">
        <v>434.82</v>
      </c>
      <c r="C152">
        <v>1182.8</v>
      </c>
    </row>
    <row r="153" spans="1:3" x14ac:dyDescent="0.25">
      <c r="A153">
        <v>144</v>
      </c>
      <c r="B153">
        <v>437.27</v>
      </c>
      <c r="C153">
        <v>1225.3</v>
      </c>
    </row>
    <row r="154" spans="1:3" x14ac:dyDescent="0.25">
      <c r="A154">
        <v>145</v>
      </c>
      <c r="B154">
        <v>439.5</v>
      </c>
      <c r="C154">
        <v>1270.3</v>
      </c>
    </row>
    <row r="155" spans="1:3" x14ac:dyDescent="0.25">
      <c r="A155">
        <v>146</v>
      </c>
      <c r="B155">
        <v>441.45</v>
      </c>
      <c r="C155">
        <v>1317.9</v>
      </c>
    </row>
    <row r="156" spans="1:3" x14ac:dyDescent="0.25">
      <c r="A156">
        <v>147</v>
      </c>
      <c r="B156">
        <v>443.06</v>
      </c>
      <c r="C156">
        <v>1368.4</v>
      </c>
    </row>
    <row r="157" spans="1:3" x14ac:dyDescent="0.25">
      <c r="A157">
        <v>148</v>
      </c>
      <c r="B157">
        <v>444.23</v>
      </c>
      <c r="C157">
        <v>1421.9</v>
      </c>
    </row>
    <row r="158" spans="1:3" x14ac:dyDescent="0.25">
      <c r="A158">
        <v>149</v>
      </c>
      <c r="B158">
        <v>444.9</v>
      </c>
      <c r="C158">
        <v>1478.5</v>
      </c>
    </row>
    <row r="159" spans="1:3" x14ac:dyDescent="0.25">
      <c r="A159">
        <v>150</v>
      </c>
      <c r="B159">
        <v>444.95</v>
      </c>
      <c r="C159">
        <v>1538.5</v>
      </c>
    </row>
    <row r="160" spans="1:3" x14ac:dyDescent="0.25">
      <c r="A160">
        <v>151</v>
      </c>
      <c r="B160">
        <v>444.27</v>
      </c>
      <c r="C160">
        <v>1602.1</v>
      </c>
    </row>
    <row r="161" spans="1:3" x14ac:dyDescent="0.25">
      <c r="A161">
        <v>152</v>
      </c>
      <c r="B161">
        <v>442.73</v>
      </c>
      <c r="C161">
        <v>1669.4</v>
      </c>
    </row>
    <row r="162" spans="1:3" x14ac:dyDescent="0.25">
      <c r="A162">
        <v>153</v>
      </c>
      <c r="B162">
        <v>434.57</v>
      </c>
      <c r="C162">
        <v>1763.6</v>
      </c>
    </row>
    <row r="163" spans="1:3" x14ac:dyDescent="0.25">
      <c r="A163">
        <v>154</v>
      </c>
      <c r="B163">
        <v>400.98</v>
      </c>
      <c r="C163">
        <v>1961.3</v>
      </c>
    </row>
    <row r="164" spans="1:3" x14ac:dyDescent="0.25">
      <c r="A164">
        <v>155</v>
      </c>
      <c r="B164">
        <v>367.68</v>
      </c>
      <c r="C164">
        <v>2156.6</v>
      </c>
    </row>
    <row r="165" spans="1:3" x14ac:dyDescent="0.25">
      <c r="A165">
        <v>156</v>
      </c>
      <c r="B165">
        <v>334.35</v>
      </c>
      <c r="C165">
        <v>2350.2</v>
      </c>
    </row>
    <row r="166" spans="1:3" x14ac:dyDescent="0.25">
      <c r="A166">
        <v>157</v>
      </c>
      <c r="B166">
        <v>300.64</v>
      </c>
      <c r="C166">
        <v>2542.7</v>
      </c>
    </row>
    <row r="167" spans="1:3" x14ac:dyDescent="0.25">
      <c r="A167">
        <v>158</v>
      </c>
      <c r="B167">
        <v>266.18</v>
      </c>
      <c r="C167">
        <v>2734.8</v>
      </c>
    </row>
    <row r="168" spans="1:3" x14ac:dyDescent="0.25">
      <c r="A168">
        <v>159</v>
      </c>
      <c r="B168">
        <v>230.57</v>
      </c>
      <c r="C168">
        <v>2927.2</v>
      </c>
    </row>
    <row r="169" spans="1:3" x14ac:dyDescent="0.25">
      <c r="A169">
        <v>160</v>
      </c>
      <c r="B169">
        <v>193.35</v>
      </c>
      <c r="C169">
        <v>3120.3</v>
      </c>
    </row>
    <row r="170" spans="1:3" x14ac:dyDescent="0.25">
      <c r="A170">
        <v>161</v>
      </c>
      <c r="B170">
        <v>154.05</v>
      </c>
      <c r="C170">
        <v>3315</v>
      </c>
    </row>
    <row r="171" spans="1:3" x14ac:dyDescent="0.25">
      <c r="A171">
        <v>162</v>
      </c>
      <c r="B171">
        <v>112.11</v>
      </c>
      <c r="C171">
        <v>3511.7</v>
      </c>
    </row>
    <row r="172" spans="1:3" x14ac:dyDescent="0.25">
      <c r="A172">
        <v>163</v>
      </c>
      <c r="B172">
        <v>66.93</v>
      </c>
      <c r="C172">
        <v>3711.3</v>
      </c>
    </row>
    <row r="173" spans="1:3" x14ac:dyDescent="0.25">
      <c r="A173">
        <v>164</v>
      </c>
      <c r="B173">
        <v>17.84</v>
      </c>
      <c r="C173">
        <v>3890.4</v>
      </c>
    </row>
    <row r="174" spans="1:3" x14ac:dyDescent="0.25">
      <c r="A174">
        <v>165</v>
      </c>
      <c r="B174">
        <v>-35.9</v>
      </c>
      <c r="C174">
        <v>3890.4</v>
      </c>
    </row>
    <row r="175" spans="1:3" x14ac:dyDescent="0.25">
      <c r="A175">
        <v>166</v>
      </c>
      <c r="B175">
        <v>-89.28</v>
      </c>
      <c r="C175">
        <v>3890.4</v>
      </c>
    </row>
    <row r="176" spans="1:3" x14ac:dyDescent="0.25">
      <c r="A176">
        <v>167</v>
      </c>
      <c r="B176">
        <v>-103.4</v>
      </c>
      <c r="C176">
        <v>3890.4</v>
      </c>
    </row>
    <row r="177" spans="1:3" x14ac:dyDescent="0.25">
      <c r="A177">
        <v>168</v>
      </c>
      <c r="B177">
        <v>-116.72</v>
      </c>
      <c r="C177">
        <v>3890.4</v>
      </c>
    </row>
    <row r="178" spans="1:3" x14ac:dyDescent="0.25">
      <c r="A178">
        <v>169</v>
      </c>
      <c r="B178">
        <v>-129.31</v>
      </c>
      <c r="C178">
        <v>3890.4</v>
      </c>
    </row>
    <row r="179" spans="1:3" x14ac:dyDescent="0.25">
      <c r="A179">
        <v>170</v>
      </c>
      <c r="B179">
        <v>-141.19</v>
      </c>
      <c r="C179">
        <v>3890.4</v>
      </c>
    </row>
    <row r="180" spans="1:3" x14ac:dyDescent="0.25">
      <c r="A180">
        <v>171</v>
      </c>
      <c r="B180">
        <v>-152.4</v>
      </c>
      <c r="C180">
        <v>3890.4</v>
      </c>
    </row>
    <row r="181" spans="1:3" x14ac:dyDescent="0.25">
      <c r="A181">
        <v>172</v>
      </c>
      <c r="B181">
        <v>-158.55</v>
      </c>
      <c r="C181">
        <v>3890.4</v>
      </c>
    </row>
    <row r="182" spans="1:3" x14ac:dyDescent="0.25">
      <c r="A182">
        <v>173</v>
      </c>
      <c r="B182">
        <v>-158.55</v>
      </c>
      <c r="C182">
        <v>3890.4</v>
      </c>
    </row>
    <row r="183" spans="1:3" x14ac:dyDescent="0.25">
      <c r="A183">
        <v>174</v>
      </c>
      <c r="B183">
        <v>-158.55</v>
      </c>
      <c r="C183">
        <v>3890.4</v>
      </c>
    </row>
    <row r="184" spans="1:3" x14ac:dyDescent="0.25">
      <c r="A184">
        <v>175</v>
      </c>
      <c r="B184">
        <v>-158.55</v>
      </c>
      <c r="C184">
        <v>3890.4</v>
      </c>
    </row>
    <row r="185" spans="1:3" x14ac:dyDescent="0.25">
      <c r="A185">
        <v>176</v>
      </c>
      <c r="B185">
        <v>-158.55</v>
      </c>
      <c r="C185">
        <v>3890.4</v>
      </c>
    </row>
    <row r="186" spans="1:3" x14ac:dyDescent="0.25">
      <c r="A186">
        <v>177</v>
      </c>
      <c r="B186">
        <v>-158.55</v>
      </c>
      <c r="C186">
        <v>3890.4</v>
      </c>
    </row>
    <row r="187" spans="1:3" x14ac:dyDescent="0.25">
      <c r="A187">
        <v>178</v>
      </c>
      <c r="B187">
        <v>-158.55</v>
      </c>
      <c r="C187">
        <v>3890.4</v>
      </c>
    </row>
    <row r="188" spans="1:3" x14ac:dyDescent="0.25">
      <c r="A188">
        <v>179</v>
      </c>
      <c r="B188">
        <v>-158.55</v>
      </c>
      <c r="C188">
        <v>3890.4</v>
      </c>
    </row>
    <row r="189" spans="1:3" x14ac:dyDescent="0.25">
      <c r="A189">
        <v>180</v>
      </c>
      <c r="B189">
        <v>-158.55</v>
      </c>
      <c r="C189">
        <v>3890.4</v>
      </c>
    </row>
    <row r="190" spans="1:3" x14ac:dyDescent="0.25">
      <c r="A190">
        <v>181</v>
      </c>
      <c r="B190">
        <v>-158.55</v>
      </c>
      <c r="C190">
        <v>3890.4</v>
      </c>
    </row>
    <row r="191" spans="1:3" x14ac:dyDescent="0.25">
      <c r="A191">
        <v>182</v>
      </c>
      <c r="B191">
        <v>-158.55</v>
      </c>
      <c r="C191">
        <v>3890.4</v>
      </c>
    </row>
    <row r="192" spans="1:3" x14ac:dyDescent="0.25">
      <c r="A192">
        <v>183</v>
      </c>
      <c r="B192">
        <v>-158.55</v>
      </c>
      <c r="C192">
        <v>3890.4</v>
      </c>
    </row>
    <row r="193" spans="1:3" x14ac:dyDescent="0.25">
      <c r="A193">
        <v>184</v>
      </c>
      <c r="B193">
        <v>-158.55</v>
      </c>
      <c r="C193">
        <v>3890.4</v>
      </c>
    </row>
    <row r="194" spans="1:3" x14ac:dyDescent="0.25">
      <c r="A194">
        <v>185</v>
      </c>
      <c r="B194">
        <v>-158.55</v>
      </c>
      <c r="C194">
        <v>3890.4</v>
      </c>
    </row>
    <row r="195" spans="1:3" x14ac:dyDescent="0.25">
      <c r="A195">
        <v>186</v>
      </c>
      <c r="B195">
        <v>-158.55</v>
      </c>
      <c r="C195">
        <v>3890.4</v>
      </c>
    </row>
    <row r="196" spans="1:3" x14ac:dyDescent="0.25">
      <c r="A196">
        <v>187</v>
      </c>
      <c r="B196">
        <v>-158.55</v>
      </c>
      <c r="C196">
        <v>3890.4</v>
      </c>
    </row>
    <row r="197" spans="1:3" x14ac:dyDescent="0.25">
      <c r="A197">
        <v>188</v>
      </c>
      <c r="B197">
        <v>-158.55</v>
      </c>
      <c r="C197">
        <v>3890.4</v>
      </c>
    </row>
    <row r="198" spans="1:3" x14ac:dyDescent="0.25">
      <c r="A198">
        <v>189</v>
      </c>
      <c r="B198">
        <v>-158.55</v>
      </c>
      <c r="C198">
        <v>3890.4</v>
      </c>
    </row>
    <row r="199" spans="1:3" x14ac:dyDescent="0.25">
      <c r="A199">
        <v>190</v>
      </c>
      <c r="B199">
        <v>-158.55</v>
      </c>
      <c r="C199">
        <v>3890.4</v>
      </c>
    </row>
    <row r="200" spans="1:3" x14ac:dyDescent="0.25">
      <c r="A200">
        <v>191</v>
      </c>
      <c r="B200">
        <v>-158.55</v>
      </c>
      <c r="C200">
        <v>3890.4</v>
      </c>
    </row>
    <row r="201" spans="1:3" x14ac:dyDescent="0.25">
      <c r="A201">
        <v>192</v>
      </c>
      <c r="B201">
        <v>-158.55</v>
      </c>
      <c r="C201">
        <v>3890.4</v>
      </c>
    </row>
    <row r="202" spans="1:3" x14ac:dyDescent="0.25">
      <c r="A202">
        <v>193</v>
      </c>
      <c r="B202">
        <v>-158.55</v>
      </c>
      <c r="C202">
        <v>3890.4</v>
      </c>
    </row>
    <row r="203" spans="1:3" x14ac:dyDescent="0.25">
      <c r="A203">
        <v>194</v>
      </c>
      <c r="B203">
        <v>-158.55</v>
      </c>
      <c r="C203">
        <v>3890.4</v>
      </c>
    </row>
    <row r="204" spans="1:3" x14ac:dyDescent="0.25">
      <c r="A204">
        <v>195</v>
      </c>
      <c r="B204">
        <v>-158.55</v>
      </c>
      <c r="C204">
        <v>3890.4</v>
      </c>
    </row>
    <row r="205" spans="1:3" x14ac:dyDescent="0.25">
      <c r="A205">
        <v>196</v>
      </c>
      <c r="B205">
        <v>-158.55</v>
      </c>
      <c r="C205">
        <v>3890.4</v>
      </c>
    </row>
    <row r="206" spans="1:3" x14ac:dyDescent="0.25">
      <c r="A206">
        <v>197</v>
      </c>
      <c r="B206">
        <v>-158.55</v>
      </c>
      <c r="C206">
        <v>3890.4</v>
      </c>
    </row>
    <row r="207" spans="1:3" x14ac:dyDescent="0.25">
      <c r="A207">
        <v>198</v>
      </c>
      <c r="B207">
        <v>-158.55</v>
      </c>
      <c r="C207">
        <v>3890.4</v>
      </c>
    </row>
    <row r="208" spans="1:3" x14ac:dyDescent="0.25">
      <c r="A208">
        <v>199</v>
      </c>
      <c r="B208">
        <v>-158.55</v>
      </c>
      <c r="C208">
        <v>3890.4</v>
      </c>
    </row>
    <row r="209" spans="1:3" x14ac:dyDescent="0.25">
      <c r="A209">
        <v>200</v>
      </c>
      <c r="B209">
        <v>-158.55</v>
      </c>
      <c r="C209">
        <v>3890.4</v>
      </c>
    </row>
    <row r="210" spans="1:3" x14ac:dyDescent="0.25">
      <c r="A210">
        <v>201</v>
      </c>
      <c r="B210">
        <v>-158.55</v>
      </c>
      <c r="C210">
        <v>3890.4</v>
      </c>
    </row>
    <row r="211" spans="1:3" x14ac:dyDescent="0.25">
      <c r="A211">
        <v>202</v>
      </c>
      <c r="B211">
        <v>-158.55</v>
      </c>
      <c r="C211">
        <v>3890.4</v>
      </c>
    </row>
    <row r="212" spans="1:3" x14ac:dyDescent="0.25">
      <c r="A212">
        <v>203</v>
      </c>
      <c r="B212">
        <v>-158.55</v>
      </c>
      <c r="C212">
        <v>3890.4</v>
      </c>
    </row>
    <row r="213" spans="1:3" x14ac:dyDescent="0.25">
      <c r="A213">
        <v>204</v>
      </c>
      <c r="B213">
        <v>-158.55</v>
      </c>
      <c r="C213">
        <v>3890.4</v>
      </c>
    </row>
    <row r="214" spans="1:3" x14ac:dyDescent="0.25">
      <c r="A214">
        <v>205</v>
      </c>
      <c r="B214">
        <v>-158.55</v>
      </c>
      <c r="C214">
        <v>3890.4</v>
      </c>
    </row>
    <row r="215" spans="1:3" x14ac:dyDescent="0.25">
      <c r="A215">
        <v>206</v>
      </c>
      <c r="B215">
        <v>-158.55</v>
      </c>
      <c r="C215">
        <v>3890.4</v>
      </c>
    </row>
    <row r="216" spans="1:3" x14ac:dyDescent="0.25">
      <c r="A216">
        <v>207</v>
      </c>
      <c r="B216">
        <v>-158.55</v>
      </c>
      <c r="C216">
        <v>3890.4</v>
      </c>
    </row>
    <row r="217" spans="1:3" x14ac:dyDescent="0.25">
      <c r="A217">
        <v>208</v>
      </c>
      <c r="B217">
        <v>-158.55</v>
      </c>
      <c r="C217">
        <v>3890.4</v>
      </c>
    </row>
    <row r="218" spans="1:3" x14ac:dyDescent="0.25">
      <c r="A218">
        <v>209</v>
      </c>
      <c r="B218">
        <v>-158.55</v>
      </c>
      <c r="C218">
        <v>3890.4</v>
      </c>
    </row>
    <row r="219" spans="1:3" x14ac:dyDescent="0.25">
      <c r="A219">
        <v>210</v>
      </c>
      <c r="B219">
        <v>-158.55</v>
      </c>
      <c r="C219">
        <v>3890.4</v>
      </c>
    </row>
    <row r="220" spans="1:3" x14ac:dyDescent="0.25">
      <c r="A220">
        <v>211</v>
      </c>
      <c r="B220">
        <v>-158.55</v>
      </c>
      <c r="C220">
        <v>3890.4</v>
      </c>
    </row>
    <row r="221" spans="1:3" x14ac:dyDescent="0.25">
      <c r="A221">
        <v>212</v>
      </c>
      <c r="B221">
        <v>-158.55</v>
      </c>
      <c r="C221">
        <v>3890.4</v>
      </c>
    </row>
    <row r="222" spans="1:3" x14ac:dyDescent="0.25">
      <c r="A222">
        <v>213</v>
      </c>
      <c r="B222">
        <v>-158.55</v>
      </c>
      <c r="C222">
        <v>3890.4</v>
      </c>
    </row>
    <row r="223" spans="1:3" x14ac:dyDescent="0.25">
      <c r="A223">
        <v>214</v>
      </c>
      <c r="B223">
        <v>-158.55</v>
      </c>
      <c r="C223">
        <v>3890.4</v>
      </c>
    </row>
    <row r="224" spans="1:3" x14ac:dyDescent="0.25">
      <c r="A224">
        <v>215</v>
      </c>
      <c r="B224">
        <v>-158.55</v>
      </c>
      <c r="C224">
        <v>3890.4</v>
      </c>
    </row>
    <row r="225" spans="1:3" x14ac:dyDescent="0.25">
      <c r="A225">
        <v>216</v>
      </c>
      <c r="B225">
        <v>-158.55</v>
      </c>
      <c r="C225">
        <v>3890.4</v>
      </c>
    </row>
    <row r="226" spans="1:3" x14ac:dyDescent="0.25">
      <c r="A226">
        <v>217</v>
      </c>
      <c r="B226">
        <v>-158.55</v>
      </c>
      <c r="C226">
        <v>3890.4</v>
      </c>
    </row>
    <row r="227" spans="1:3" x14ac:dyDescent="0.25">
      <c r="A227">
        <v>218</v>
      </c>
      <c r="B227">
        <v>-158.55</v>
      </c>
      <c r="C227">
        <v>3890.4</v>
      </c>
    </row>
    <row r="228" spans="1:3" x14ac:dyDescent="0.25">
      <c r="A228">
        <v>219</v>
      </c>
      <c r="B228">
        <v>-158.55</v>
      </c>
      <c r="C228">
        <v>3890.4</v>
      </c>
    </row>
    <row r="229" spans="1:3" x14ac:dyDescent="0.25">
      <c r="A229">
        <v>220</v>
      </c>
      <c r="B229">
        <v>-158.55</v>
      </c>
      <c r="C229">
        <v>3890.4</v>
      </c>
    </row>
    <row r="230" spans="1:3" x14ac:dyDescent="0.25">
      <c r="A230">
        <v>221</v>
      </c>
      <c r="B230">
        <v>-158.55</v>
      </c>
      <c r="C230">
        <v>3890.4</v>
      </c>
    </row>
    <row r="231" spans="1:3" x14ac:dyDescent="0.25">
      <c r="A231">
        <v>222</v>
      </c>
      <c r="B231">
        <v>-158.55</v>
      </c>
      <c r="C231">
        <v>3890.4</v>
      </c>
    </row>
    <row r="232" spans="1:3" x14ac:dyDescent="0.25">
      <c r="A232">
        <v>223</v>
      </c>
      <c r="B232">
        <v>-158.55</v>
      </c>
      <c r="C232">
        <v>3890.4</v>
      </c>
    </row>
    <row r="233" spans="1:3" x14ac:dyDescent="0.25">
      <c r="A233">
        <v>224</v>
      </c>
      <c r="B233">
        <v>-158.55</v>
      </c>
      <c r="C233">
        <v>3890.4</v>
      </c>
    </row>
    <row r="234" spans="1:3" x14ac:dyDescent="0.25">
      <c r="A234">
        <v>225</v>
      </c>
      <c r="B234">
        <v>-158.55</v>
      </c>
      <c r="C234">
        <v>3890.4</v>
      </c>
    </row>
    <row r="235" spans="1:3" x14ac:dyDescent="0.25">
      <c r="A235">
        <v>226</v>
      </c>
      <c r="B235">
        <v>-158.55</v>
      </c>
      <c r="C235">
        <v>3890.4</v>
      </c>
    </row>
    <row r="236" spans="1:3" x14ac:dyDescent="0.25">
      <c r="A236">
        <v>227</v>
      </c>
      <c r="B236">
        <v>-158.55</v>
      </c>
      <c r="C236">
        <v>3890.4</v>
      </c>
    </row>
    <row r="237" spans="1:3" x14ac:dyDescent="0.25">
      <c r="A237">
        <v>228</v>
      </c>
      <c r="B237">
        <v>-158.55</v>
      </c>
      <c r="C237">
        <v>3890.4</v>
      </c>
    </row>
    <row r="238" spans="1:3" x14ac:dyDescent="0.25">
      <c r="A238">
        <v>229</v>
      </c>
      <c r="B238">
        <v>-158.55</v>
      </c>
      <c r="C238">
        <v>3890.4</v>
      </c>
    </row>
    <row r="239" spans="1:3" x14ac:dyDescent="0.25">
      <c r="A239">
        <v>230</v>
      </c>
      <c r="B239">
        <v>-158.55</v>
      </c>
      <c r="C239">
        <v>3890.4</v>
      </c>
    </row>
    <row r="240" spans="1:3" x14ac:dyDescent="0.25">
      <c r="A240">
        <v>231</v>
      </c>
      <c r="B240">
        <v>-158.55</v>
      </c>
      <c r="C240">
        <v>3890.4</v>
      </c>
    </row>
    <row r="241" spans="1:3" x14ac:dyDescent="0.25">
      <c r="A241">
        <v>232</v>
      </c>
      <c r="B241">
        <v>-158.55</v>
      </c>
      <c r="C241">
        <v>3890.4</v>
      </c>
    </row>
    <row r="242" spans="1:3" x14ac:dyDescent="0.25">
      <c r="A242">
        <v>233</v>
      </c>
      <c r="B242">
        <v>-158.55</v>
      </c>
      <c r="C242">
        <v>3890.4</v>
      </c>
    </row>
    <row r="243" spans="1:3" x14ac:dyDescent="0.25">
      <c r="A243">
        <v>234</v>
      </c>
      <c r="B243">
        <v>-158.95</v>
      </c>
      <c r="C243">
        <v>3890.4</v>
      </c>
    </row>
    <row r="244" spans="1:3" x14ac:dyDescent="0.25">
      <c r="A244">
        <v>235</v>
      </c>
      <c r="B244">
        <v>-160.16</v>
      </c>
      <c r="C244">
        <v>3890.4</v>
      </c>
    </row>
    <row r="245" spans="1:3" x14ac:dyDescent="0.25">
      <c r="A245">
        <v>236</v>
      </c>
      <c r="B245">
        <v>-161.44</v>
      </c>
      <c r="C245">
        <v>3890.4</v>
      </c>
    </row>
    <row r="246" spans="1:3" x14ac:dyDescent="0.25">
      <c r="A246">
        <v>237</v>
      </c>
      <c r="B246">
        <v>-162.79</v>
      </c>
      <c r="C246">
        <v>3890.4</v>
      </c>
    </row>
    <row r="247" spans="1:3" x14ac:dyDescent="0.25">
      <c r="A247">
        <v>238</v>
      </c>
      <c r="B247">
        <v>-164.23</v>
      </c>
      <c r="C247">
        <v>3890.4</v>
      </c>
    </row>
    <row r="248" spans="1:3" x14ac:dyDescent="0.25">
      <c r="A248">
        <v>239</v>
      </c>
      <c r="B248">
        <v>-165.75</v>
      </c>
      <c r="C248">
        <v>3890.4</v>
      </c>
    </row>
    <row r="249" spans="1:3" x14ac:dyDescent="0.25">
      <c r="A249">
        <v>240</v>
      </c>
      <c r="B249">
        <v>-167.35</v>
      </c>
      <c r="C249">
        <v>3890.4</v>
      </c>
    </row>
    <row r="250" spans="1:3" x14ac:dyDescent="0.25">
      <c r="A250">
        <v>241</v>
      </c>
      <c r="B250">
        <v>-233.42</v>
      </c>
      <c r="C250">
        <v>3890.4</v>
      </c>
    </row>
    <row r="251" spans="1:3" x14ac:dyDescent="0.25">
      <c r="A251">
        <v>242</v>
      </c>
      <c r="B251">
        <v>-295.1</v>
      </c>
      <c r="C251">
        <v>3788.4</v>
      </c>
    </row>
    <row r="252" spans="1:3" x14ac:dyDescent="0.25">
      <c r="A252">
        <v>243</v>
      </c>
      <c r="B252">
        <v>-344.28</v>
      </c>
      <c r="C252">
        <v>3418</v>
      </c>
    </row>
    <row r="253" spans="1:3" x14ac:dyDescent="0.25">
      <c r="A253">
        <v>244</v>
      </c>
      <c r="B253">
        <v>-382.67</v>
      </c>
      <c r="C253">
        <v>3066.9</v>
      </c>
    </row>
    <row r="254" spans="1:3" x14ac:dyDescent="0.25">
      <c r="A254">
        <v>245</v>
      </c>
      <c r="B254">
        <v>-410.22</v>
      </c>
      <c r="C254">
        <v>2755.1</v>
      </c>
    </row>
    <row r="255" spans="1:3" x14ac:dyDescent="0.25">
      <c r="A255">
        <v>246</v>
      </c>
      <c r="B255">
        <v>-419.59</v>
      </c>
      <c r="C255">
        <v>2627.5</v>
      </c>
    </row>
    <row r="256" spans="1:3" x14ac:dyDescent="0.25">
      <c r="A256">
        <v>247</v>
      </c>
      <c r="B256">
        <v>-426.5</v>
      </c>
      <c r="C256">
        <v>2505.3</v>
      </c>
    </row>
    <row r="257" spans="1:3" x14ac:dyDescent="0.25">
      <c r="A257">
        <v>248</v>
      </c>
      <c r="B257">
        <v>-431.36</v>
      </c>
      <c r="C257">
        <v>2388.2</v>
      </c>
    </row>
    <row r="258" spans="1:3" x14ac:dyDescent="0.25">
      <c r="A258">
        <v>249</v>
      </c>
      <c r="B258">
        <v>-434.49</v>
      </c>
      <c r="C258">
        <v>2275.8</v>
      </c>
    </row>
    <row r="259" spans="1:3" x14ac:dyDescent="0.25">
      <c r="A259">
        <v>250</v>
      </c>
      <c r="B259">
        <v>-436.21</v>
      </c>
      <c r="C259">
        <v>2167.6</v>
      </c>
    </row>
    <row r="260" spans="1:3" x14ac:dyDescent="0.25">
      <c r="A260">
        <v>251</v>
      </c>
      <c r="B260">
        <v>-436.78</v>
      </c>
      <c r="C260">
        <v>2063.4</v>
      </c>
    </row>
    <row r="261" spans="1:3" x14ac:dyDescent="0.25">
      <c r="A261">
        <v>252</v>
      </c>
      <c r="B261">
        <v>-436.44</v>
      </c>
      <c r="C261">
        <v>1962.8</v>
      </c>
    </row>
    <row r="262" spans="1:3" x14ac:dyDescent="0.25">
      <c r="A262">
        <v>253</v>
      </c>
      <c r="B262">
        <v>-433.35</v>
      </c>
      <c r="C262">
        <v>1878.5</v>
      </c>
    </row>
    <row r="263" spans="1:3" x14ac:dyDescent="0.25">
      <c r="A263">
        <v>254</v>
      </c>
      <c r="B263">
        <v>-428.17</v>
      </c>
      <c r="C263">
        <v>1807.2</v>
      </c>
    </row>
    <row r="264" spans="1:3" x14ac:dyDescent="0.25">
      <c r="A264">
        <v>255</v>
      </c>
      <c r="B264">
        <v>-422.4</v>
      </c>
      <c r="C264">
        <v>1739.9</v>
      </c>
    </row>
    <row r="265" spans="1:3" x14ac:dyDescent="0.25">
      <c r="A265">
        <v>256</v>
      </c>
      <c r="B265">
        <v>-416.18</v>
      </c>
      <c r="C265">
        <v>1676.3</v>
      </c>
    </row>
    <row r="266" spans="1:3" x14ac:dyDescent="0.25">
      <c r="A266">
        <v>257</v>
      </c>
      <c r="B266">
        <v>-409.62</v>
      </c>
      <c r="C266">
        <v>1616.4</v>
      </c>
    </row>
    <row r="267" spans="1:3" x14ac:dyDescent="0.25">
      <c r="A267">
        <v>258</v>
      </c>
      <c r="B267">
        <v>-402.81</v>
      </c>
      <c r="C267">
        <v>1559.7</v>
      </c>
    </row>
    <row r="268" spans="1:3" x14ac:dyDescent="0.25">
      <c r="A268">
        <v>259</v>
      </c>
      <c r="B268">
        <v>-395.82</v>
      </c>
      <c r="C268">
        <v>1506.2</v>
      </c>
    </row>
    <row r="269" spans="1:3" x14ac:dyDescent="0.25">
      <c r="A269">
        <v>260</v>
      </c>
      <c r="B269">
        <v>-388.74</v>
      </c>
      <c r="C269">
        <v>1455.8</v>
      </c>
    </row>
    <row r="270" spans="1:3" x14ac:dyDescent="0.25">
      <c r="A270">
        <v>261</v>
      </c>
      <c r="B270">
        <v>-381.61</v>
      </c>
      <c r="C270">
        <v>1408.1</v>
      </c>
    </row>
    <row r="271" spans="1:3" x14ac:dyDescent="0.25">
      <c r="A271">
        <v>262</v>
      </c>
      <c r="B271">
        <v>-374.5</v>
      </c>
      <c r="C271">
        <v>1363.1</v>
      </c>
    </row>
    <row r="272" spans="1:3" x14ac:dyDescent="0.25">
      <c r="A272">
        <v>263</v>
      </c>
      <c r="B272">
        <v>-367.44</v>
      </c>
      <c r="C272">
        <v>1320.7</v>
      </c>
    </row>
    <row r="273" spans="1:3" x14ac:dyDescent="0.25">
      <c r="A273">
        <v>264</v>
      </c>
      <c r="B273">
        <v>-360.46</v>
      </c>
      <c r="C273">
        <v>1280.6</v>
      </c>
    </row>
    <row r="274" spans="1:3" x14ac:dyDescent="0.25">
      <c r="A274">
        <v>265</v>
      </c>
      <c r="B274">
        <v>-353.59</v>
      </c>
      <c r="C274">
        <v>1242.7</v>
      </c>
    </row>
    <row r="275" spans="1:3" x14ac:dyDescent="0.25">
      <c r="A275">
        <v>266</v>
      </c>
      <c r="B275">
        <v>-346.87</v>
      </c>
      <c r="C275">
        <v>1207</v>
      </c>
    </row>
    <row r="276" spans="1:3" x14ac:dyDescent="0.25">
      <c r="A276">
        <v>267</v>
      </c>
      <c r="B276">
        <v>-340.3</v>
      </c>
      <c r="C276">
        <v>1173.2</v>
      </c>
    </row>
    <row r="277" spans="1:3" x14ac:dyDescent="0.25">
      <c r="A277">
        <v>268</v>
      </c>
      <c r="B277">
        <v>-333.9</v>
      </c>
      <c r="C277">
        <v>1141.4</v>
      </c>
    </row>
    <row r="278" spans="1:3" x14ac:dyDescent="0.25">
      <c r="A278">
        <v>269</v>
      </c>
      <c r="B278">
        <v>-327.69</v>
      </c>
      <c r="C278">
        <v>1111.3</v>
      </c>
    </row>
    <row r="279" spans="1:3" x14ac:dyDescent="0.25">
      <c r="A279">
        <v>270</v>
      </c>
      <c r="B279">
        <v>-311.24</v>
      </c>
      <c r="C279">
        <v>1040.2</v>
      </c>
    </row>
    <row r="280" spans="1:3" x14ac:dyDescent="0.25">
      <c r="A280">
        <v>271</v>
      </c>
      <c r="B280">
        <v>-293.95</v>
      </c>
      <c r="C280">
        <v>966.5</v>
      </c>
    </row>
    <row r="281" spans="1:3" x14ac:dyDescent="0.25">
      <c r="A281">
        <v>272</v>
      </c>
      <c r="B281">
        <v>-276.19</v>
      </c>
      <c r="C281">
        <v>891.5</v>
      </c>
    </row>
    <row r="282" spans="1:3" x14ac:dyDescent="0.25">
      <c r="A282">
        <v>273</v>
      </c>
      <c r="B282">
        <v>-257.91</v>
      </c>
      <c r="C282">
        <v>814.9</v>
      </c>
    </row>
    <row r="283" spans="1:3" x14ac:dyDescent="0.25">
      <c r="A283">
        <v>274</v>
      </c>
      <c r="B283">
        <v>-239.07</v>
      </c>
      <c r="C283">
        <v>736.6</v>
      </c>
    </row>
    <row r="284" spans="1:3" x14ac:dyDescent="0.25">
      <c r="A284">
        <v>275</v>
      </c>
      <c r="B284">
        <v>-219.62</v>
      </c>
      <c r="C284">
        <v>656.2</v>
      </c>
    </row>
    <row r="285" spans="1:3" x14ac:dyDescent="0.25">
      <c r="A285">
        <v>276</v>
      </c>
      <c r="B285">
        <v>-199.53</v>
      </c>
      <c r="C285">
        <v>573.5</v>
      </c>
    </row>
    <row r="286" spans="1:3" x14ac:dyDescent="0.25">
      <c r="A286">
        <v>277</v>
      </c>
      <c r="B286">
        <v>-178.73</v>
      </c>
      <c r="C286">
        <v>488.2</v>
      </c>
    </row>
    <row r="287" spans="1:3" x14ac:dyDescent="0.25">
      <c r="A287">
        <v>278</v>
      </c>
      <c r="B287">
        <v>-157.16</v>
      </c>
      <c r="C287">
        <v>400.1</v>
      </c>
    </row>
    <row r="288" spans="1:3" x14ac:dyDescent="0.25">
      <c r="A288">
        <v>279</v>
      </c>
      <c r="B288">
        <v>-134.77</v>
      </c>
      <c r="C288">
        <v>308.8</v>
      </c>
    </row>
    <row r="289" spans="1:3" x14ac:dyDescent="0.25">
      <c r="A289">
        <v>280</v>
      </c>
      <c r="B289">
        <v>-111.49</v>
      </c>
      <c r="C289">
        <v>214</v>
      </c>
    </row>
    <row r="290" spans="1:3" x14ac:dyDescent="0.25">
      <c r="A290">
        <v>281</v>
      </c>
      <c r="B290">
        <v>-87.25</v>
      </c>
      <c r="C290">
        <v>115.4</v>
      </c>
    </row>
    <row r="291" spans="1:3" x14ac:dyDescent="0.25">
      <c r="A291">
        <v>282</v>
      </c>
      <c r="B291">
        <v>-61.97</v>
      </c>
      <c r="C291">
        <v>12.8</v>
      </c>
    </row>
    <row r="292" spans="1:3" x14ac:dyDescent="0.25">
      <c r="A292">
        <v>283</v>
      </c>
      <c r="B292">
        <v>-35.59</v>
      </c>
      <c r="C292">
        <v>-94.3</v>
      </c>
    </row>
    <row r="293" spans="1:3" x14ac:dyDescent="0.25">
      <c r="A293">
        <v>284</v>
      </c>
      <c r="B293">
        <v>-8.02</v>
      </c>
      <c r="C293">
        <v>-206.2</v>
      </c>
    </row>
    <row r="294" spans="1:3" x14ac:dyDescent="0.25">
      <c r="A294">
        <v>285</v>
      </c>
      <c r="B294">
        <v>20.83</v>
      </c>
      <c r="C294">
        <v>-323.3</v>
      </c>
    </row>
    <row r="295" spans="1:3" x14ac:dyDescent="0.25">
      <c r="A295">
        <v>286</v>
      </c>
      <c r="B295">
        <v>51.05</v>
      </c>
      <c r="C295">
        <v>-445.9</v>
      </c>
    </row>
    <row r="296" spans="1:3" x14ac:dyDescent="0.25">
      <c r="A296">
        <v>287</v>
      </c>
      <c r="B296">
        <v>82.73</v>
      </c>
      <c r="C296">
        <v>-574.5</v>
      </c>
    </row>
    <row r="297" spans="1:3" x14ac:dyDescent="0.25">
      <c r="A297">
        <v>288</v>
      </c>
      <c r="B297">
        <v>109.53</v>
      </c>
      <c r="C297">
        <v>-683.1</v>
      </c>
    </row>
    <row r="298" spans="1:3" x14ac:dyDescent="0.25">
      <c r="A298">
        <v>289</v>
      </c>
      <c r="B298">
        <v>112.13</v>
      </c>
      <c r="C298">
        <v>-692.6</v>
      </c>
    </row>
    <row r="299" spans="1:3" x14ac:dyDescent="0.25">
      <c r="A299">
        <v>290</v>
      </c>
      <c r="B299">
        <v>114.6</v>
      </c>
      <c r="C299">
        <v>-701.5</v>
      </c>
    </row>
    <row r="300" spans="1:3" x14ac:dyDescent="0.25">
      <c r="A300">
        <v>291</v>
      </c>
      <c r="B300">
        <v>116.95</v>
      </c>
      <c r="C300">
        <v>-710</v>
      </c>
    </row>
    <row r="301" spans="1:3" x14ac:dyDescent="0.25">
      <c r="A301">
        <v>292</v>
      </c>
      <c r="B301">
        <v>119.17</v>
      </c>
      <c r="C301">
        <v>-718</v>
      </c>
    </row>
    <row r="302" spans="1:3" x14ac:dyDescent="0.25">
      <c r="A302">
        <v>293</v>
      </c>
      <c r="B302">
        <v>121.29</v>
      </c>
      <c r="C302">
        <v>-725.6</v>
      </c>
    </row>
    <row r="303" spans="1:3" x14ac:dyDescent="0.25">
      <c r="A303">
        <v>294</v>
      </c>
      <c r="B303">
        <v>123.29</v>
      </c>
      <c r="C303">
        <v>-732.7</v>
      </c>
    </row>
    <row r="304" spans="1:3" x14ac:dyDescent="0.25">
      <c r="A304">
        <v>295</v>
      </c>
      <c r="B304">
        <v>125.19</v>
      </c>
      <c r="C304">
        <v>-739.4</v>
      </c>
    </row>
    <row r="305" spans="1:3" x14ac:dyDescent="0.25">
      <c r="A305">
        <v>296</v>
      </c>
      <c r="B305">
        <v>126.99</v>
      </c>
      <c r="C305">
        <v>-745.8</v>
      </c>
    </row>
    <row r="306" spans="1:3" x14ac:dyDescent="0.25">
      <c r="A306">
        <v>297</v>
      </c>
      <c r="B306">
        <v>128.7</v>
      </c>
      <c r="C306">
        <v>-751.8</v>
      </c>
    </row>
    <row r="307" spans="1:3" x14ac:dyDescent="0.25">
      <c r="A307">
        <v>298</v>
      </c>
      <c r="B307">
        <v>130.32</v>
      </c>
      <c r="C307">
        <v>-757.4</v>
      </c>
    </row>
    <row r="308" spans="1:3" x14ac:dyDescent="0.25">
      <c r="A308">
        <v>299</v>
      </c>
      <c r="B308">
        <v>131.86</v>
      </c>
      <c r="C308">
        <v>-762.8</v>
      </c>
    </row>
    <row r="309" spans="1:3" x14ac:dyDescent="0.25">
      <c r="A309">
        <v>300</v>
      </c>
      <c r="B309">
        <v>133.31</v>
      </c>
      <c r="C309">
        <v>-767.8</v>
      </c>
    </row>
    <row r="310" spans="1:3" x14ac:dyDescent="0.25">
      <c r="A310">
        <v>301</v>
      </c>
      <c r="B310">
        <v>134.68</v>
      </c>
      <c r="C310">
        <v>-772.6</v>
      </c>
    </row>
    <row r="311" spans="1:3" x14ac:dyDescent="0.25">
      <c r="A311">
        <v>302</v>
      </c>
      <c r="B311">
        <v>135.99</v>
      </c>
      <c r="C311">
        <v>-777.1</v>
      </c>
    </row>
    <row r="312" spans="1:3" x14ac:dyDescent="0.25">
      <c r="A312">
        <v>303</v>
      </c>
      <c r="B312">
        <v>137.22</v>
      </c>
      <c r="C312">
        <v>-781.4</v>
      </c>
    </row>
    <row r="313" spans="1:3" x14ac:dyDescent="0.25">
      <c r="A313">
        <v>304</v>
      </c>
      <c r="B313">
        <v>138.39</v>
      </c>
      <c r="C313">
        <v>-785.4</v>
      </c>
    </row>
    <row r="314" spans="1:3" x14ac:dyDescent="0.25">
      <c r="A314">
        <v>305</v>
      </c>
      <c r="B314">
        <v>139.49</v>
      </c>
      <c r="C314">
        <v>-789.1</v>
      </c>
    </row>
    <row r="315" spans="1:3" x14ac:dyDescent="0.25">
      <c r="A315">
        <v>306</v>
      </c>
      <c r="B315">
        <v>140.54</v>
      </c>
      <c r="C315">
        <v>-792.7</v>
      </c>
    </row>
    <row r="316" spans="1:3" x14ac:dyDescent="0.25">
      <c r="A316">
        <v>307</v>
      </c>
      <c r="B316">
        <v>141.53</v>
      </c>
      <c r="C316">
        <v>-796.1</v>
      </c>
    </row>
    <row r="317" spans="1:3" x14ac:dyDescent="0.25">
      <c r="A317">
        <v>308</v>
      </c>
      <c r="B317">
        <v>142.47</v>
      </c>
      <c r="C317">
        <v>-799.3</v>
      </c>
    </row>
    <row r="318" spans="1:3" x14ac:dyDescent="0.25">
      <c r="A318">
        <v>309</v>
      </c>
      <c r="B318">
        <v>143.35</v>
      </c>
      <c r="C318">
        <v>-802.3</v>
      </c>
    </row>
    <row r="319" spans="1:3" x14ac:dyDescent="0.25">
      <c r="A319">
        <v>310</v>
      </c>
      <c r="B319">
        <v>144.19</v>
      </c>
      <c r="C319">
        <v>-805.1</v>
      </c>
    </row>
    <row r="320" spans="1:3" x14ac:dyDescent="0.25">
      <c r="A320">
        <v>311</v>
      </c>
      <c r="B320">
        <v>144.98</v>
      </c>
      <c r="C320">
        <v>-807.8</v>
      </c>
    </row>
    <row r="321" spans="1:3" x14ac:dyDescent="0.25">
      <c r="A321">
        <v>312</v>
      </c>
      <c r="B321">
        <v>145.73</v>
      </c>
      <c r="C321">
        <v>-810.3</v>
      </c>
    </row>
    <row r="322" spans="1:3" x14ac:dyDescent="0.25">
      <c r="A322">
        <v>313</v>
      </c>
      <c r="B322">
        <v>146.44</v>
      </c>
      <c r="C322">
        <v>-812.7</v>
      </c>
    </row>
    <row r="323" spans="1:3" x14ac:dyDescent="0.25">
      <c r="A323">
        <v>314</v>
      </c>
      <c r="B323">
        <v>147.11</v>
      </c>
      <c r="C323">
        <v>-815</v>
      </c>
    </row>
    <row r="324" spans="1:3" x14ac:dyDescent="0.25">
      <c r="A324">
        <v>315</v>
      </c>
      <c r="B324">
        <v>147.74</v>
      </c>
      <c r="C324">
        <v>-817.1</v>
      </c>
    </row>
    <row r="325" spans="1:3" x14ac:dyDescent="0.25">
      <c r="A325">
        <v>316</v>
      </c>
      <c r="B325">
        <v>148.34</v>
      </c>
      <c r="C325">
        <v>-819.1</v>
      </c>
    </row>
    <row r="326" spans="1:3" x14ac:dyDescent="0.25">
      <c r="A326">
        <v>317</v>
      </c>
      <c r="B326">
        <v>148.91</v>
      </c>
      <c r="C326">
        <v>-821</v>
      </c>
    </row>
    <row r="327" spans="1:3" x14ac:dyDescent="0.25">
      <c r="A327">
        <v>318</v>
      </c>
      <c r="B327">
        <v>149.44</v>
      </c>
      <c r="C327">
        <v>-822.8</v>
      </c>
    </row>
    <row r="328" spans="1:3" x14ac:dyDescent="0.25">
      <c r="A328">
        <v>319</v>
      </c>
      <c r="B328">
        <v>149.95</v>
      </c>
      <c r="C328">
        <v>-824.5</v>
      </c>
    </row>
    <row r="329" spans="1:3" x14ac:dyDescent="0.25">
      <c r="A329">
        <v>320</v>
      </c>
      <c r="B329">
        <v>150.42</v>
      </c>
      <c r="C329">
        <v>-826.1</v>
      </c>
    </row>
    <row r="330" spans="1:3" x14ac:dyDescent="0.25">
      <c r="A330">
        <v>321</v>
      </c>
      <c r="B330">
        <v>150.87</v>
      </c>
      <c r="C330">
        <v>-827.6</v>
      </c>
    </row>
    <row r="331" spans="1:3" x14ac:dyDescent="0.25">
      <c r="A331">
        <v>322</v>
      </c>
      <c r="B331">
        <v>151.3</v>
      </c>
      <c r="C331">
        <v>-829</v>
      </c>
    </row>
    <row r="332" spans="1:3" x14ac:dyDescent="0.25">
      <c r="A332">
        <v>323</v>
      </c>
      <c r="B332">
        <v>151.7</v>
      </c>
      <c r="C332">
        <v>-830.4</v>
      </c>
    </row>
    <row r="333" spans="1:3" x14ac:dyDescent="0.25">
      <c r="A333">
        <v>324</v>
      </c>
      <c r="B333">
        <v>152.08</v>
      </c>
      <c r="C333">
        <v>-831.6</v>
      </c>
    </row>
    <row r="334" spans="1:3" x14ac:dyDescent="0.25">
      <c r="A334">
        <v>325</v>
      </c>
      <c r="B334">
        <v>152.44</v>
      </c>
      <c r="C334">
        <v>-832.8</v>
      </c>
    </row>
    <row r="335" spans="1:3" x14ac:dyDescent="0.25">
      <c r="A335">
        <v>326</v>
      </c>
      <c r="B335">
        <v>152.78</v>
      </c>
      <c r="C335">
        <v>-834</v>
      </c>
    </row>
    <row r="336" spans="1:3" x14ac:dyDescent="0.25">
      <c r="A336">
        <v>327</v>
      </c>
      <c r="B336">
        <v>153.1</v>
      </c>
      <c r="C336">
        <v>-835</v>
      </c>
    </row>
    <row r="337" spans="1:3" x14ac:dyDescent="0.25">
      <c r="A337">
        <v>328</v>
      </c>
      <c r="B337">
        <v>153.41</v>
      </c>
      <c r="C337">
        <v>-836</v>
      </c>
    </row>
    <row r="338" spans="1:3" x14ac:dyDescent="0.25">
      <c r="A338">
        <v>329</v>
      </c>
      <c r="B338">
        <v>153.69</v>
      </c>
      <c r="C338">
        <v>-837</v>
      </c>
    </row>
    <row r="339" spans="1:3" x14ac:dyDescent="0.25">
      <c r="A339">
        <v>330</v>
      </c>
      <c r="B339">
        <v>153.96</v>
      </c>
      <c r="C339">
        <v>-837.9</v>
      </c>
    </row>
    <row r="340" spans="1:3" x14ac:dyDescent="0.25">
      <c r="A340">
        <v>331</v>
      </c>
      <c r="B340">
        <v>154.22</v>
      </c>
      <c r="C340">
        <v>-838.7</v>
      </c>
    </row>
    <row r="341" spans="1:3" x14ac:dyDescent="0.25">
      <c r="A341">
        <v>332</v>
      </c>
      <c r="B341">
        <v>154.46</v>
      </c>
      <c r="C341">
        <v>-839.5</v>
      </c>
    </row>
    <row r="342" spans="1:3" x14ac:dyDescent="0.25">
      <c r="A342">
        <v>333</v>
      </c>
      <c r="B342">
        <v>154.69</v>
      </c>
      <c r="C342">
        <v>-840.3</v>
      </c>
    </row>
    <row r="343" spans="1:3" x14ac:dyDescent="0.25">
      <c r="A343">
        <v>334</v>
      </c>
      <c r="B343">
        <v>154.9</v>
      </c>
      <c r="C343">
        <v>-841</v>
      </c>
    </row>
    <row r="344" spans="1:3" x14ac:dyDescent="0.25">
      <c r="A344">
        <v>335</v>
      </c>
      <c r="B344">
        <v>155.11</v>
      </c>
      <c r="C344">
        <v>-841.7</v>
      </c>
    </row>
    <row r="345" spans="1:3" x14ac:dyDescent="0.25">
      <c r="A345">
        <v>336</v>
      </c>
      <c r="B345">
        <v>155.3</v>
      </c>
      <c r="C345">
        <v>-842.3</v>
      </c>
    </row>
    <row r="346" spans="1:3" x14ac:dyDescent="0.25">
      <c r="A346">
        <v>337</v>
      </c>
      <c r="B346">
        <v>155.48</v>
      </c>
      <c r="C346">
        <v>-842.9</v>
      </c>
    </row>
    <row r="347" spans="1:3" x14ac:dyDescent="0.25">
      <c r="A347">
        <v>338</v>
      </c>
      <c r="B347">
        <v>155.65</v>
      </c>
      <c r="C347">
        <v>-843.5</v>
      </c>
    </row>
    <row r="348" spans="1:3" x14ac:dyDescent="0.25">
      <c r="A348">
        <v>339</v>
      </c>
      <c r="B348">
        <v>155.81</v>
      </c>
      <c r="C348">
        <v>-844</v>
      </c>
    </row>
    <row r="349" spans="1:3" x14ac:dyDescent="0.25">
      <c r="A349">
        <v>340</v>
      </c>
      <c r="B349">
        <v>155.97</v>
      </c>
      <c r="C349">
        <v>-844.5</v>
      </c>
    </row>
    <row r="350" spans="1:3" x14ac:dyDescent="0.25">
      <c r="A350">
        <v>341</v>
      </c>
      <c r="B350">
        <v>156.11</v>
      </c>
      <c r="C350">
        <v>-845</v>
      </c>
    </row>
    <row r="351" spans="1:3" x14ac:dyDescent="0.25">
      <c r="A351">
        <v>342</v>
      </c>
      <c r="B351">
        <v>156.25</v>
      </c>
      <c r="C351">
        <v>-845.4</v>
      </c>
    </row>
    <row r="352" spans="1:3" x14ac:dyDescent="0.25">
      <c r="A352">
        <v>343</v>
      </c>
      <c r="B352">
        <v>156.38</v>
      </c>
      <c r="C352">
        <v>-845.9</v>
      </c>
    </row>
    <row r="353" spans="1:3" x14ac:dyDescent="0.25">
      <c r="A353">
        <v>344</v>
      </c>
      <c r="B353">
        <v>156.5</v>
      </c>
      <c r="C353">
        <v>-846.3</v>
      </c>
    </row>
    <row r="354" spans="1:3" x14ac:dyDescent="0.25">
      <c r="A354">
        <v>345</v>
      </c>
      <c r="B354">
        <v>156.61</v>
      </c>
      <c r="C354">
        <v>-846.6</v>
      </c>
    </row>
    <row r="355" spans="1:3" x14ac:dyDescent="0.25">
      <c r="A355">
        <v>346</v>
      </c>
      <c r="B355">
        <v>156.72</v>
      </c>
      <c r="C355">
        <v>-847</v>
      </c>
    </row>
    <row r="356" spans="1:3" x14ac:dyDescent="0.25">
      <c r="A356">
        <v>347</v>
      </c>
      <c r="B356">
        <v>156.82</v>
      </c>
      <c r="C356">
        <v>-847.3</v>
      </c>
    </row>
    <row r="357" spans="1:3" x14ac:dyDescent="0.25">
      <c r="A357">
        <v>348</v>
      </c>
      <c r="B357">
        <v>156.92</v>
      </c>
      <c r="C357">
        <v>-847.7</v>
      </c>
    </row>
    <row r="358" spans="1:3" x14ac:dyDescent="0.25">
      <c r="A358">
        <v>349</v>
      </c>
      <c r="B358">
        <v>157.01</v>
      </c>
      <c r="C358">
        <v>-848</v>
      </c>
    </row>
    <row r="359" spans="1:3" x14ac:dyDescent="0.25">
      <c r="A359">
        <v>350</v>
      </c>
      <c r="B359">
        <v>157.1</v>
      </c>
      <c r="C359">
        <v>-848.2</v>
      </c>
    </row>
    <row r="360" spans="1:3" x14ac:dyDescent="0.25">
      <c r="A360">
        <v>351</v>
      </c>
      <c r="B360">
        <v>157.18</v>
      </c>
      <c r="C360">
        <v>-848.5</v>
      </c>
    </row>
    <row r="361" spans="1:3" x14ac:dyDescent="0.25">
      <c r="A361">
        <v>352</v>
      </c>
      <c r="B361">
        <v>157.25</v>
      </c>
      <c r="C361">
        <v>-848.8</v>
      </c>
    </row>
    <row r="362" spans="1:3" x14ac:dyDescent="0.25">
      <c r="A362">
        <v>353</v>
      </c>
      <c r="B362">
        <v>157.33</v>
      </c>
      <c r="C362">
        <v>-849</v>
      </c>
    </row>
    <row r="363" spans="1:3" x14ac:dyDescent="0.25">
      <c r="A363">
        <v>354</v>
      </c>
      <c r="B363">
        <v>157.4</v>
      </c>
      <c r="C363">
        <v>-849.2</v>
      </c>
    </row>
    <row r="364" spans="1:3" x14ac:dyDescent="0.25">
      <c r="A364">
        <v>355</v>
      </c>
      <c r="B364">
        <v>157.46</v>
      </c>
      <c r="C364">
        <v>-849.4</v>
      </c>
    </row>
    <row r="365" spans="1:3" x14ac:dyDescent="0.25">
      <c r="A365">
        <v>356</v>
      </c>
      <c r="B365">
        <v>157.52</v>
      </c>
      <c r="C365">
        <v>-849.6</v>
      </c>
    </row>
    <row r="366" spans="1:3" x14ac:dyDescent="0.25">
      <c r="A366">
        <v>357</v>
      </c>
      <c r="B366">
        <v>157.58</v>
      </c>
      <c r="C366">
        <v>-849.8</v>
      </c>
    </row>
    <row r="367" spans="1:3" x14ac:dyDescent="0.25">
      <c r="A367">
        <v>358</v>
      </c>
      <c r="B367">
        <v>157.63</v>
      </c>
      <c r="C367">
        <v>-850</v>
      </c>
    </row>
    <row r="368" spans="1:3" x14ac:dyDescent="0.25">
      <c r="A368">
        <v>359</v>
      </c>
      <c r="B368">
        <v>157.68</v>
      </c>
      <c r="C368">
        <v>-850.2</v>
      </c>
    </row>
    <row r="369" spans="1:3" x14ac:dyDescent="0.25">
      <c r="A369">
        <v>360</v>
      </c>
      <c r="B369">
        <v>157.73</v>
      </c>
      <c r="C369">
        <v>-850.3</v>
      </c>
    </row>
    <row r="370" spans="1:3" x14ac:dyDescent="0.25">
      <c r="A370">
        <v>361</v>
      </c>
      <c r="B370">
        <v>157.78</v>
      </c>
      <c r="C370">
        <v>-850.5</v>
      </c>
    </row>
    <row r="371" spans="1:3" x14ac:dyDescent="0.25">
      <c r="A371">
        <v>362</v>
      </c>
      <c r="B371">
        <v>157.82</v>
      </c>
      <c r="C371">
        <v>-850.6</v>
      </c>
    </row>
    <row r="372" spans="1:3" x14ac:dyDescent="0.25">
      <c r="A372">
        <v>363</v>
      </c>
      <c r="B372">
        <v>157.86</v>
      </c>
      <c r="C372">
        <v>-850.8</v>
      </c>
    </row>
    <row r="373" spans="1:3" x14ac:dyDescent="0.25">
      <c r="A373">
        <v>364</v>
      </c>
      <c r="B373">
        <v>157.9</v>
      </c>
      <c r="C373">
        <v>-850.9</v>
      </c>
    </row>
    <row r="374" spans="1:3" x14ac:dyDescent="0.25">
      <c r="A374">
        <v>365</v>
      </c>
      <c r="B374">
        <v>157.94</v>
      </c>
      <c r="C374">
        <v>-851</v>
      </c>
    </row>
    <row r="375" spans="1:3" x14ac:dyDescent="0.25">
      <c r="A375">
        <v>366</v>
      </c>
      <c r="B375">
        <v>157.97</v>
      </c>
      <c r="C375">
        <v>-851.1</v>
      </c>
    </row>
    <row r="376" spans="1:3" x14ac:dyDescent="0.25">
      <c r="A376">
        <v>367</v>
      </c>
      <c r="B376">
        <v>158</v>
      </c>
      <c r="C376">
        <v>-851.2</v>
      </c>
    </row>
    <row r="377" spans="1:3" x14ac:dyDescent="0.25">
      <c r="A377">
        <v>368</v>
      </c>
      <c r="B377">
        <v>158.04</v>
      </c>
      <c r="C377">
        <v>-851.3</v>
      </c>
    </row>
    <row r="378" spans="1:3" x14ac:dyDescent="0.25">
      <c r="A378">
        <v>369</v>
      </c>
      <c r="B378">
        <v>158.06</v>
      </c>
      <c r="C378">
        <v>-851.4</v>
      </c>
    </row>
    <row r="379" spans="1:3" x14ac:dyDescent="0.25">
      <c r="A379">
        <v>370</v>
      </c>
      <c r="B379">
        <v>158.09</v>
      </c>
      <c r="C379">
        <v>-851.5</v>
      </c>
    </row>
    <row r="380" spans="1:3" x14ac:dyDescent="0.25">
      <c r="A380">
        <v>371</v>
      </c>
      <c r="B380">
        <v>158.12</v>
      </c>
      <c r="C380">
        <v>-851.6</v>
      </c>
    </row>
    <row r="381" spans="1:3" x14ac:dyDescent="0.25">
      <c r="A381">
        <v>372</v>
      </c>
      <c r="B381">
        <v>158.14</v>
      </c>
      <c r="C381">
        <v>-851.7</v>
      </c>
    </row>
    <row r="382" spans="1:3" x14ac:dyDescent="0.25">
      <c r="A382">
        <v>373</v>
      </c>
      <c r="B382">
        <v>158.16</v>
      </c>
      <c r="C382">
        <v>-851.8</v>
      </c>
    </row>
    <row r="383" spans="1:3" x14ac:dyDescent="0.25">
      <c r="A383">
        <v>374</v>
      </c>
      <c r="B383">
        <v>158.19</v>
      </c>
      <c r="C383">
        <v>-851.8</v>
      </c>
    </row>
    <row r="384" spans="1:3" x14ac:dyDescent="0.25">
      <c r="A384">
        <v>375</v>
      </c>
      <c r="B384">
        <v>158.21</v>
      </c>
      <c r="C384">
        <v>-851.9</v>
      </c>
    </row>
    <row r="385" spans="1:3" x14ac:dyDescent="0.25">
      <c r="A385">
        <v>376</v>
      </c>
      <c r="B385">
        <v>158.23</v>
      </c>
      <c r="C385">
        <v>-852</v>
      </c>
    </row>
    <row r="386" spans="1:3" x14ac:dyDescent="0.25">
      <c r="A386">
        <v>377</v>
      </c>
      <c r="B386">
        <v>158.24</v>
      </c>
      <c r="C386">
        <v>-852</v>
      </c>
    </row>
    <row r="387" spans="1:3" x14ac:dyDescent="0.25">
      <c r="A387">
        <v>378</v>
      </c>
      <c r="B387">
        <v>158.26</v>
      </c>
      <c r="C387">
        <v>-852.1</v>
      </c>
    </row>
    <row r="388" spans="1:3" x14ac:dyDescent="0.25">
      <c r="A388">
        <v>379</v>
      </c>
      <c r="B388">
        <v>158.28</v>
      </c>
      <c r="C388">
        <v>-852.1</v>
      </c>
    </row>
    <row r="389" spans="1:3" x14ac:dyDescent="0.25">
      <c r="A389">
        <v>380</v>
      </c>
      <c r="B389">
        <v>158.29</v>
      </c>
      <c r="C389">
        <v>-852.2</v>
      </c>
    </row>
    <row r="390" spans="1:3" x14ac:dyDescent="0.25">
      <c r="A390">
        <v>381</v>
      </c>
      <c r="B390">
        <v>158.31</v>
      </c>
      <c r="C390">
        <v>-852.2</v>
      </c>
    </row>
    <row r="391" spans="1:3" x14ac:dyDescent="0.25">
      <c r="A391">
        <v>382</v>
      </c>
      <c r="B391">
        <v>158.32</v>
      </c>
      <c r="C391">
        <v>-852.3</v>
      </c>
    </row>
    <row r="392" spans="1:3" x14ac:dyDescent="0.25">
      <c r="A392">
        <v>383</v>
      </c>
      <c r="B392">
        <v>158.33</v>
      </c>
      <c r="C392">
        <v>-852.3</v>
      </c>
    </row>
    <row r="393" spans="1:3" x14ac:dyDescent="0.25">
      <c r="A393">
        <v>384</v>
      </c>
      <c r="B393">
        <v>158.35</v>
      </c>
      <c r="C393">
        <v>-852.4</v>
      </c>
    </row>
    <row r="394" spans="1:3" x14ac:dyDescent="0.25">
      <c r="A394">
        <v>385</v>
      </c>
      <c r="B394">
        <v>158.36</v>
      </c>
      <c r="C394">
        <v>-852.4</v>
      </c>
    </row>
    <row r="395" spans="1:3" x14ac:dyDescent="0.25">
      <c r="A395">
        <v>386</v>
      </c>
      <c r="B395">
        <v>158.37</v>
      </c>
      <c r="C395">
        <v>-852.4</v>
      </c>
    </row>
    <row r="396" spans="1:3" x14ac:dyDescent="0.25">
      <c r="A396">
        <v>387</v>
      </c>
      <c r="B396">
        <v>158.38</v>
      </c>
      <c r="C396">
        <v>-852.5</v>
      </c>
    </row>
    <row r="397" spans="1:3" x14ac:dyDescent="0.25">
      <c r="A397">
        <v>388</v>
      </c>
      <c r="B397">
        <v>158.39</v>
      </c>
      <c r="C397">
        <v>-852.5</v>
      </c>
    </row>
    <row r="398" spans="1:3" x14ac:dyDescent="0.25">
      <c r="A398">
        <v>389</v>
      </c>
      <c r="B398">
        <v>158.4</v>
      </c>
      <c r="C398">
        <v>-852.5</v>
      </c>
    </row>
    <row r="399" spans="1:3" x14ac:dyDescent="0.25">
      <c r="A399">
        <v>390</v>
      </c>
      <c r="B399">
        <v>158.41</v>
      </c>
      <c r="C399">
        <v>-852.5</v>
      </c>
    </row>
    <row r="400" spans="1:3" x14ac:dyDescent="0.25">
      <c r="A400">
        <v>391</v>
      </c>
      <c r="B400">
        <v>158.41</v>
      </c>
      <c r="C400">
        <v>-852.6</v>
      </c>
    </row>
    <row r="401" spans="1:3" x14ac:dyDescent="0.25">
      <c r="A401">
        <v>392</v>
      </c>
      <c r="B401">
        <v>158.42</v>
      </c>
      <c r="C401">
        <v>-852.6</v>
      </c>
    </row>
    <row r="402" spans="1:3" x14ac:dyDescent="0.25">
      <c r="A402">
        <v>393</v>
      </c>
      <c r="B402">
        <v>158.43</v>
      </c>
      <c r="C402">
        <v>-852.6</v>
      </c>
    </row>
    <row r="403" spans="1:3" x14ac:dyDescent="0.25">
      <c r="A403">
        <v>394</v>
      </c>
      <c r="B403">
        <v>158.44</v>
      </c>
      <c r="C403">
        <v>-852.6</v>
      </c>
    </row>
    <row r="404" spans="1:3" x14ac:dyDescent="0.25">
      <c r="A404">
        <v>395</v>
      </c>
      <c r="B404">
        <v>158.44</v>
      </c>
      <c r="C404">
        <v>-852.7</v>
      </c>
    </row>
    <row r="405" spans="1:3" x14ac:dyDescent="0.25">
      <c r="A405">
        <v>396</v>
      </c>
      <c r="B405">
        <v>158.45</v>
      </c>
      <c r="C405">
        <v>-852.7</v>
      </c>
    </row>
    <row r="406" spans="1:3" x14ac:dyDescent="0.25">
      <c r="A406">
        <v>397</v>
      </c>
      <c r="B406">
        <v>158.45</v>
      </c>
      <c r="C406">
        <v>-852.7</v>
      </c>
    </row>
    <row r="407" spans="1:3" x14ac:dyDescent="0.25">
      <c r="A407">
        <v>398</v>
      </c>
      <c r="B407">
        <v>158.46</v>
      </c>
      <c r="C407">
        <v>-852.7</v>
      </c>
    </row>
    <row r="408" spans="1:3" x14ac:dyDescent="0.25">
      <c r="A408">
        <v>399</v>
      </c>
      <c r="B408">
        <v>158.47</v>
      </c>
      <c r="C408">
        <v>-852.7</v>
      </c>
    </row>
    <row r="409" spans="1:3" x14ac:dyDescent="0.25">
      <c r="A409">
        <v>400</v>
      </c>
      <c r="B409">
        <v>158.47</v>
      </c>
      <c r="C409">
        <v>-852.8</v>
      </c>
    </row>
    <row r="410" spans="1:3" x14ac:dyDescent="0.25">
      <c r="A410">
        <v>401</v>
      </c>
      <c r="B410">
        <v>158.47</v>
      </c>
      <c r="C410">
        <v>-852.8</v>
      </c>
    </row>
    <row r="411" spans="1:3" x14ac:dyDescent="0.25">
      <c r="A411">
        <v>402</v>
      </c>
      <c r="B411">
        <v>158.48</v>
      </c>
      <c r="C411">
        <v>-852.8</v>
      </c>
    </row>
    <row r="412" spans="1:3" x14ac:dyDescent="0.25">
      <c r="A412">
        <v>403</v>
      </c>
      <c r="B412">
        <v>158.48</v>
      </c>
      <c r="C412">
        <v>-852.8</v>
      </c>
    </row>
    <row r="413" spans="1:3" x14ac:dyDescent="0.25">
      <c r="A413">
        <v>404</v>
      </c>
      <c r="B413">
        <v>158.49</v>
      </c>
      <c r="C413">
        <v>-852.8</v>
      </c>
    </row>
    <row r="414" spans="1:3" x14ac:dyDescent="0.25">
      <c r="A414">
        <v>405</v>
      </c>
      <c r="B414">
        <v>158.55</v>
      </c>
      <c r="C414">
        <v>-853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28" customWidth="1"/>
    <col min="3" max="4" width="14" customWidth="1"/>
  </cols>
  <sheetData>
    <row r="1" spans="1:2" s="4" customFormat="1" x14ac:dyDescent="0.25">
      <c r="A1" s="4" t="s">
        <v>4</v>
      </c>
      <c r="B1" s="4" t="s">
        <v>6</v>
      </c>
    </row>
    <row r="2" spans="1:2" x14ac:dyDescent="0.25">
      <c r="A2" t="s">
        <v>286</v>
      </c>
      <c r="B2">
        <v>6000</v>
      </c>
    </row>
    <row r="3" spans="1:2" x14ac:dyDescent="0.25">
      <c r="A3" t="s">
        <v>287</v>
      </c>
      <c r="B3" t="s">
        <v>288</v>
      </c>
    </row>
    <row r="4" spans="1:2" x14ac:dyDescent="0.25">
      <c r="A4" t="s">
        <v>289</v>
      </c>
      <c r="B4">
        <v>20</v>
      </c>
    </row>
    <row r="5" spans="1:2" x14ac:dyDescent="0.25">
      <c r="A5" t="s">
        <v>290</v>
      </c>
      <c r="B5">
        <v>50</v>
      </c>
    </row>
    <row r="6" spans="1:2" x14ac:dyDescent="0.25">
      <c r="A6" t="s">
        <v>291</v>
      </c>
      <c r="B6">
        <v>3000</v>
      </c>
    </row>
    <row r="7" spans="1:2" x14ac:dyDescent="0.25">
      <c r="A7" t="s">
        <v>292</v>
      </c>
      <c r="B7">
        <v>0</v>
      </c>
    </row>
    <row r="8" spans="1:2" x14ac:dyDescent="0.25">
      <c r="A8" t="s">
        <v>293</v>
      </c>
      <c r="B8">
        <v>0</v>
      </c>
    </row>
    <row r="9" spans="1:2" x14ac:dyDescent="0.25">
      <c r="A9" t="s">
        <v>294</v>
      </c>
      <c r="B9">
        <v>28</v>
      </c>
    </row>
    <row r="10" spans="1:2" x14ac:dyDescent="0.25">
      <c r="A10" t="s">
        <v>295</v>
      </c>
      <c r="B10">
        <v>4744142857.142858</v>
      </c>
    </row>
    <row r="11" spans="1:2" x14ac:dyDescent="0.25">
      <c r="A11" t="s">
        <v>296</v>
      </c>
      <c r="B11" t="s">
        <v>297</v>
      </c>
    </row>
    <row r="12" spans="1:2" x14ac:dyDescent="0.25">
      <c r="A12" t="s">
        <v>298</v>
      </c>
      <c r="B12" t="s">
        <v>299</v>
      </c>
    </row>
    <row r="13" spans="1:2" x14ac:dyDescent="0.25">
      <c r="A13" t="s">
        <v>300</v>
      </c>
      <c r="B13" t="s">
        <v>301</v>
      </c>
    </row>
    <row r="14" spans="1:2" x14ac:dyDescent="0.25">
      <c r="A14" t="s">
        <v>302</v>
      </c>
      <c r="B14" t="s">
        <v>303</v>
      </c>
    </row>
    <row r="15" spans="1:2" x14ac:dyDescent="0.25">
      <c r="A15" t="s">
        <v>304</v>
      </c>
      <c r="B15" t="s">
        <v>305</v>
      </c>
    </row>
    <row r="17" spans="1:4" s="21" customFormat="1" x14ac:dyDescent="0.25">
      <c r="A17" s="21" t="s">
        <v>306</v>
      </c>
      <c r="B17" s="21" t="s">
        <v>277</v>
      </c>
      <c r="C17" s="21" t="s">
        <v>307</v>
      </c>
      <c r="D17" s="21" t="s">
        <v>308</v>
      </c>
    </row>
    <row r="18" spans="1:4" x14ac:dyDescent="0.25">
      <c r="A18">
        <v>0</v>
      </c>
      <c r="B18">
        <v>0</v>
      </c>
      <c r="C18">
        <v>85</v>
      </c>
      <c r="D18">
        <v>0</v>
      </c>
    </row>
    <row r="19" spans="1:4" x14ac:dyDescent="0.25">
      <c r="A19">
        <v>30</v>
      </c>
      <c r="B19">
        <v>2.541</v>
      </c>
      <c r="C19">
        <v>84.4</v>
      </c>
      <c r="D19">
        <v>0.066</v>
      </c>
    </row>
    <row r="20" spans="1:4" x14ac:dyDescent="0.25">
      <c r="A20">
        <v>60</v>
      </c>
      <c r="B20">
        <v>5.064</v>
      </c>
      <c r="C20">
        <v>83.8</v>
      </c>
      <c r="D20">
        <v>0.132</v>
      </c>
    </row>
    <row r="21" spans="1:4" x14ac:dyDescent="0.25">
      <c r="A21">
        <v>90</v>
      </c>
      <c r="B21">
        <v>7.569</v>
      </c>
      <c r="C21">
        <v>83.2</v>
      </c>
      <c r="D21">
        <v>0.198</v>
      </c>
    </row>
    <row r="22" spans="1:4" x14ac:dyDescent="0.25">
      <c r="A22">
        <v>120</v>
      </c>
      <c r="B22">
        <v>10.056</v>
      </c>
      <c r="C22">
        <v>82.6</v>
      </c>
      <c r="D22">
        <v>0.264</v>
      </c>
    </row>
    <row r="23" spans="1:4" x14ac:dyDescent="0.25">
      <c r="A23">
        <v>150</v>
      </c>
      <c r="B23">
        <v>12.525</v>
      </c>
      <c r="C23">
        <v>82</v>
      </c>
      <c r="D23">
        <v>0.33</v>
      </c>
    </row>
    <row r="24" spans="1:4" x14ac:dyDescent="0.25">
      <c r="A24">
        <v>180</v>
      </c>
      <c r="B24">
        <v>14.976</v>
      </c>
      <c r="C24">
        <v>81.4</v>
      </c>
      <c r="D24">
        <v>0.396</v>
      </c>
    </row>
    <row r="25" spans="1:4" x14ac:dyDescent="0.25">
      <c r="A25">
        <v>210</v>
      </c>
      <c r="B25">
        <v>17.409</v>
      </c>
      <c r="C25">
        <v>80.8</v>
      </c>
      <c r="D25">
        <v>0.461</v>
      </c>
    </row>
    <row r="26" spans="1:4" x14ac:dyDescent="0.25">
      <c r="A26">
        <v>240</v>
      </c>
      <c r="B26">
        <v>19.824</v>
      </c>
      <c r="C26">
        <v>80.2</v>
      </c>
      <c r="D26">
        <v>0.527</v>
      </c>
    </row>
    <row r="27" spans="1:4" x14ac:dyDescent="0.25">
      <c r="A27">
        <v>270</v>
      </c>
      <c r="B27">
        <v>22.221</v>
      </c>
      <c r="C27">
        <v>79.6</v>
      </c>
      <c r="D27">
        <v>0.592</v>
      </c>
    </row>
    <row r="28" spans="1:4" x14ac:dyDescent="0.25">
      <c r="A28">
        <v>300</v>
      </c>
      <c r="B28">
        <v>24.6</v>
      </c>
      <c r="C28">
        <v>79</v>
      </c>
      <c r="D28">
        <v>0.658</v>
      </c>
    </row>
    <row r="29" spans="1:4" x14ac:dyDescent="0.25">
      <c r="A29">
        <v>330</v>
      </c>
      <c r="B29">
        <v>26.961</v>
      </c>
      <c r="C29">
        <v>78.4</v>
      </c>
      <c r="D29">
        <v>0.723</v>
      </c>
    </row>
    <row r="30" spans="1:4" x14ac:dyDescent="0.25">
      <c r="A30">
        <v>360</v>
      </c>
      <c r="B30">
        <v>29.304</v>
      </c>
      <c r="C30">
        <v>77.8</v>
      </c>
      <c r="D30">
        <v>0.788</v>
      </c>
    </row>
    <row r="31" spans="1:4" x14ac:dyDescent="0.25">
      <c r="A31">
        <v>390</v>
      </c>
      <c r="B31">
        <v>31.629</v>
      </c>
      <c r="C31">
        <v>77.2</v>
      </c>
      <c r="D31">
        <v>0.853</v>
      </c>
    </row>
    <row r="32" spans="1:4" x14ac:dyDescent="0.25">
      <c r="A32">
        <v>420</v>
      </c>
      <c r="B32">
        <v>33.936</v>
      </c>
      <c r="C32">
        <v>76.6</v>
      </c>
      <c r="D32">
        <v>0.917</v>
      </c>
    </row>
    <row r="33" spans="1:4" x14ac:dyDescent="0.25">
      <c r="A33">
        <v>450</v>
      </c>
      <c r="B33">
        <v>36.225</v>
      </c>
      <c r="C33">
        <v>76</v>
      </c>
      <c r="D33">
        <v>0.981</v>
      </c>
    </row>
    <row r="34" spans="1:4" x14ac:dyDescent="0.25">
      <c r="A34">
        <v>480</v>
      </c>
      <c r="B34">
        <v>38.496</v>
      </c>
      <c r="C34">
        <v>75.4</v>
      </c>
      <c r="D34">
        <v>1.045</v>
      </c>
    </row>
    <row r="35" spans="1:4" x14ac:dyDescent="0.25">
      <c r="A35">
        <v>510</v>
      </c>
      <c r="B35">
        <v>40.749</v>
      </c>
      <c r="C35">
        <v>74.8</v>
      </c>
      <c r="D35">
        <v>1.109</v>
      </c>
    </row>
    <row r="36" spans="1:4" x14ac:dyDescent="0.25">
      <c r="A36">
        <v>540</v>
      </c>
      <c r="B36">
        <v>42.984</v>
      </c>
      <c r="C36">
        <v>74.2</v>
      </c>
      <c r="D36">
        <v>1.173</v>
      </c>
    </row>
    <row r="37" spans="1:4" x14ac:dyDescent="0.25">
      <c r="A37">
        <v>570</v>
      </c>
      <c r="B37">
        <v>45.201</v>
      </c>
      <c r="C37">
        <v>73.6</v>
      </c>
      <c r="D37">
        <v>1.236</v>
      </c>
    </row>
    <row r="38" spans="1:4" x14ac:dyDescent="0.25">
      <c r="A38">
        <v>600</v>
      </c>
      <c r="B38">
        <v>47.4</v>
      </c>
      <c r="C38">
        <v>73</v>
      </c>
      <c r="D38">
        <v>1.299</v>
      </c>
    </row>
    <row r="39" spans="1:4" x14ac:dyDescent="0.25">
      <c r="A39">
        <v>630</v>
      </c>
      <c r="B39">
        <v>49.581</v>
      </c>
      <c r="C39">
        <v>72.4</v>
      </c>
      <c r="D39">
        <v>1.362</v>
      </c>
    </row>
    <row r="40" spans="1:4" x14ac:dyDescent="0.25">
      <c r="A40">
        <v>660</v>
      </c>
      <c r="B40">
        <v>51.744</v>
      </c>
      <c r="C40">
        <v>71.8</v>
      </c>
      <c r="D40">
        <v>1.424</v>
      </c>
    </row>
    <row r="41" spans="1:4" x14ac:dyDescent="0.25">
      <c r="A41">
        <v>690</v>
      </c>
      <c r="B41">
        <v>53.889</v>
      </c>
      <c r="C41">
        <v>71.2</v>
      </c>
      <c r="D41">
        <v>1.486</v>
      </c>
    </row>
    <row r="42" spans="1:4" x14ac:dyDescent="0.25">
      <c r="A42">
        <v>720</v>
      </c>
      <c r="B42">
        <v>56.016</v>
      </c>
      <c r="C42">
        <v>70.6</v>
      </c>
      <c r="D42">
        <v>1.547</v>
      </c>
    </row>
    <row r="43" spans="1:4" x14ac:dyDescent="0.25">
      <c r="A43">
        <v>750</v>
      </c>
      <c r="B43">
        <v>58.125</v>
      </c>
      <c r="C43">
        <v>70</v>
      </c>
      <c r="D43">
        <v>1.608</v>
      </c>
    </row>
    <row r="44" spans="1:4" x14ac:dyDescent="0.25">
      <c r="A44">
        <v>780</v>
      </c>
      <c r="B44">
        <v>60.216</v>
      </c>
      <c r="C44">
        <v>69.4</v>
      </c>
      <c r="D44">
        <v>1.669</v>
      </c>
    </row>
    <row r="45" spans="1:4" x14ac:dyDescent="0.25">
      <c r="A45">
        <v>810</v>
      </c>
      <c r="B45">
        <v>62.289</v>
      </c>
      <c r="C45">
        <v>68.8</v>
      </c>
      <c r="D45">
        <v>1.73</v>
      </c>
    </row>
    <row r="46" spans="1:4" x14ac:dyDescent="0.25">
      <c r="A46">
        <v>840</v>
      </c>
      <c r="B46">
        <v>64.344</v>
      </c>
      <c r="C46">
        <v>68.2</v>
      </c>
      <c r="D46">
        <v>1.79</v>
      </c>
    </row>
    <row r="47" spans="1:4" x14ac:dyDescent="0.25">
      <c r="A47">
        <v>870</v>
      </c>
      <c r="B47">
        <v>66.381</v>
      </c>
      <c r="C47">
        <v>67.6</v>
      </c>
      <c r="D47">
        <v>1.849</v>
      </c>
    </row>
    <row r="48" spans="1:4" x14ac:dyDescent="0.25">
      <c r="A48">
        <v>900</v>
      </c>
      <c r="B48">
        <v>68.4</v>
      </c>
      <c r="C48">
        <v>67</v>
      </c>
      <c r="D48">
        <v>1.908</v>
      </c>
    </row>
    <row r="49" spans="1:4" x14ac:dyDescent="0.25">
      <c r="A49">
        <v>930</v>
      </c>
      <c r="B49">
        <v>70.401</v>
      </c>
      <c r="C49">
        <v>66.4</v>
      </c>
      <c r="D49">
        <v>1.967</v>
      </c>
    </row>
    <row r="50" spans="1:4" x14ac:dyDescent="0.25">
      <c r="A50">
        <v>960</v>
      </c>
      <c r="B50">
        <v>72.384</v>
      </c>
      <c r="C50">
        <v>65.8</v>
      </c>
      <c r="D50">
        <v>2.025</v>
      </c>
    </row>
    <row r="51" spans="1:4" x14ac:dyDescent="0.25">
      <c r="A51">
        <v>990</v>
      </c>
      <c r="B51">
        <v>74.349</v>
      </c>
      <c r="C51">
        <v>65.2</v>
      </c>
      <c r="D51">
        <v>2.082</v>
      </c>
    </row>
    <row r="52" spans="1:4" x14ac:dyDescent="0.25">
      <c r="A52">
        <v>1020</v>
      </c>
      <c r="B52">
        <v>76.296</v>
      </c>
      <c r="C52">
        <v>64.6</v>
      </c>
      <c r="D52">
        <v>2.14</v>
      </c>
    </row>
    <row r="53" spans="1:4" x14ac:dyDescent="0.25">
      <c r="A53">
        <v>1050</v>
      </c>
      <c r="B53">
        <v>78.225</v>
      </c>
      <c r="C53">
        <v>64</v>
      </c>
      <c r="D53">
        <v>2.196</v>
      </c>
    </row>
    <row r="54" spans="1:4" x14ac:dyDescent="0.25">
      <c r="A54">
        <v>1080</v>
      </c>
      <c r="B54">
        <v>80.136</v>
      </c>
      <c r="C54">
        <v>63.4</v>
      </c>
      <c r="D54">
        <v>2.252</v>
      </c>
    </row>
    <row r="55" spans="1:4" x14ac:dyDescent="0.25">
      <c r="A55">
        <v>1110</v>
      </c>
      <c r="B55">
        <v>82.029</v>
      </c>
      <c r="C55">
        <v>62.8</v>
      </c>
      <c r="D55">
        <v>2.308</v>
      </c>
    </row>
    <row r="56" spans="1:4" x14ac:dyDescent="0.25">
      <c r="A56">
        <v>1140</v>
      </c>
      <c r="B56">
        <v>83.904</v>
      </c>
      <c r="C56">
        <v>62.2</v>
      </c>
      <c r="D56">
        <v>2.363</v>
      </c>
    </row>
    <row r="57" spans="1:4" x14ac:dyDescent="0.25">
      <c r="A57">
        <v>1170</v>
      </c>
      <c r="B57">
        <v>85.761</v>
      </c>
      <c r="C57">
        <v>61.6</v>
      </c>
      <c r="D57">
        <v>2.417</v>
      </c>
    </row>
    <row r="58" spans="1:4" x14ac:dyDescent="0.25">
      <c r="A58">
        <v>1200</v>
      </c>
      <c r="B58">
        <v>87.6</v>
      </c>
      <c r="C58">
        <v>61</v>
      </c>
      <c r="D58">
        <v>2.471</v>
      </c>
    </row>
    <row r="59" spans="1:4" x14ac:dyDescent="0.25">
      <c r="A59">
        <v>1230</v>
      </c>
      <c r="B59">
        <v>89.421</v>
      </c>
      <c r="C59">
        <v>60.4</v>
      </c>
      <c r="D59">
        <v>2.524</v>
      </c>
    </row>
    <row r="60" spans="1:4" x14ac:dyDescent="0.25">
      <c r="A60">
        <v>1260</v>
      </c>
      <c r="B60">
        <v>91.224</v>
      </c>
      <c r="C60">
        <v>59.8</v>
      </c>
      <c r="D60">
        <v>2.577</v>
      </c>
    </row>
    <row r="61" spans="1:4" x14ac:dyDescent="0.25">
      <c r="A61">
        <v>1290</v>
      </c>
      <c r="B61">
        <v>93.009</v>
      </c>
      <c r="C61">
        <v>59.2</v>
      </c>
      <c r="D61">
        <v>2.629</v>
      </c>
    </row>
    <row r="62" spans="1:4" x14ac:dyDescent="0.25">
      <c r="A62">
        <v>1320</v>
      </c>
      <c r="B62">
        <v>94.776</v>
      </c>
      <c r="C62">
        <v>58.6</v>
      </c>
      <c r="D62">
        <v>2.68</v>
      </c>
    </row>
    <row r="63" spans="1:4" x14ac:dyDescent="0.25">
      <c r="A63">
        <v>1350</v>
      </c>
      <c r="B63">
        <v>96.525</v>
      </c>
      <c r="C63">
        <v>58</v>
      </c>
      <c r="D63">
        <v>2.731</v>
      </c>
    </row>
    <row r="64" spans="1:4" x14ac:dyDescent="0.25">
      <c r="A64">
        <v>1380</v>
      </c>
      <c r="B64">
        <v>98.256</v>
      </c>
      <c r="C64">
        <v>57.4</v>
      </c>
      <c r="D64">
        <v>2.781</v>
      </c>
    </row>
    <row r="65" spans="1:4" x14ac:dyDescent="0.25">
      <c r="A65">
        <v>1410</v>
      </c>
      <c r="B65">
        <v>99.969</v>
      </c>
      <c r="C65">
        <v>56.8</v>
      </c>
      <c r="D65">
        <v>2.831</v>
      </c>
    </row>
    <row r="66" spans="1:4" x14ac:dyDescent="0.25">
      <c r="A66">
        <v>1440</v>
      </c>
      <c r="B66">
        <v>101.664</v>
      </c>
      <c r="C66">
        <v>56.2</v>
      </c>
      <c r="D66">
        <v>2.879</v>
      </c>
    </row>
    <row r="67" spans="1:4" x14ac:dyDescent="0.25">
      <c r="A67">
        <v>1470</v>
      </c>
      <c r="B67">
        <v>103.341</v>
      </c>
      <c r="C67">
        <v>55.6</v>
      </c>
      <c r="D67">
        <v>2.927</v>
      </c>
    </row>
    <row r="68" spans="1:4" x14ac:dyDescent="0.25">
      <c r="A68">
        <v>1500</v>
      </c>
      <c r="B68">
        <v>105</v>
      </c>
      <c r="C68">
        <v>55</v>
      </c>
      <c r="D68">
        <v>2.975</v>
      </c>
    </row>
    <row r="69" spans="1:4" x14ac:dyDescent="0.25">
      <c r="A69">
        <v>1530</v>
      </c>
      <c r="B69">
        <v>106.641</v>
      </c>
      <c r="C69">
        <v>54.4</v>
      </c>
      <c r="D69">
        <v>3.021</v>
      </c>
    </row>
    <row r="70" spans="1:4" x14ac:dyDescent="0.25">
      <c r="A70">
        <v>1560</v>
      </c>
      <c r="B70">
        <v>108.264</v>
      </c>
      <c r="C70">
        <v>53.8</v>
      </c>
      <c r="D70">
        <v>3.067</v>
      </c>
    </row>
    <row r="71" spans="1:4" x14ac:dyDescent="0.25">
      <c r="A71">
        <v>1590</v>
      </c>
      <c r="B71">
        <v>109.869</v>
      </c>
      <c r="C71">
        <v>53.2</v>
      </c>
      <c r="D71">
        <v>3.113</v>
      </c>
    </row>
    <row r="72" spans="1:4" x14ac:dyDescent="0.25">
      <c r="A72">
        <v>1620</v>
      </c>
      <c r="B72">
        <v>111.456</v>
      </c>
      <c r="C72">
        <v>52.6</v>
      </c>
      <c r="D72">
        <v>3.157</v>
      </c>
    </row>
    <row r="73" spans="1:4" x14ac:dyDescent="0.25">
      <c r="A73">
        <v>1650</v>
      </c>
      <c r="B73">
        <v>113.025</v>
      </c>
      <c r="C73">
        <v>52</v>
      </c>
      <c r="D73">
        <v>3.201</v>
      </c>
    </row>
    <row r="74" spans="1:4" x14ac:dyDescent="0.25">
      <c r="A74">
        <v>1680</v>
      </c>
      <c r="B74">
        <v>114.576</v>
      </c>
      <c r="C74">
        <v>51.4</v>
      </c>
      <c r="D74">
        <v>3.244</v>
      </c>
    </row>
    <row r="75" spans="1:4" x14ac:dyDescent="0.25">
      <c r="A75">
        <v>1710</v>
      </c>
      <c r="B75">
        <v>116.109</v>
      </c>
      <c r="C75">
        <v>50.8</v>
      </c>
      <c r="D75">
        <v>3.286</v>
      </c>
    </row>
    <row r="76" spans="1:4" x14ac:dyDescent="0.25">
      <c r="A76">
        <v>1740</v>
      </c>
      <c r="B76">
        <v>117.624</v>
      </c>
      <c r="C76">
        <v>50.2</v>
      </c>
      <c r="D76">
        <v>3.327</v>
      </c>
    </row>
    <row r="77" spans="1:4" x14ac:dyDescent="0.25">
      <c r="A77">
        <v>1770</v>
      </c>
      <c r="B77">
        <v>119.121</v>
      </c>
      <c r="C77">
        <v>49.6</v>
      </c>
      <c r="D77">
        <v>3.368</v>
      </c>
    </row>
    <row r="78" spans="1:4" x14ac:dyDescent="0.25">
      <c r="A78">
        <v>1800</v>
      </c>
      <c r="B78">
        <v>120.6</v>
      </c>
      <c r="C78">
        <v>49</v>
      </c>
      <c r="D78">
        <v>3.407</v>
      </c>
    </row>
    <row r="79" spans="1:4" x14ac:dyDescent="0.25">
      <c r="A79">
        <v>1830</v>
      </c>
      <c r="B79">
        <v>122.061</v>
      </c>
      <c r="C79">
        <v>48.4</v>
      </c>
      <c r="D79">
        <v>3.446</v>
      </c>
    </row>
    <row r="80" spans="1:4" x14ac:dyDescent="0.25">
      <c r="A80">
        <v>1860</v>
      </c>
      <c r="B80">
        <v>123.504</v>
      </c>
      <c r="C80">
        <v>47.8</v>
      </c>
      <c r="D80">
        <v>3.484</v>
      </c>
    </row>
    <row r="81" spans="1:4" x14ac:dyDescent="0.25">
      <c r="A81">
        <v>1890</v>
      </c>
      <c r="B81">
        <v>124.929</v>
      </c>
      <c r="C81">
        <v>47.2</v>
      </c>
      <c r="D81">
        <v>3.522</v>
      </c>
    </row>
    <row r="82" spans="1:4" x14ac:dyDescent="0.25">
      <c r="A82">
        <v>1920</v>
      </c>
      <c r="B82">
        <v>126.336</v>
      </c>
      <c r="C82">
        <v>46.6</v>
      </c>
      <c r="D82">
        <v>3.558</v>
      </c>
    </row>
    <row r="83" spans="1:4" x14ac:dyDescent="0.25">
      <c r="A83">
        <v>1950</v>
      </c>
      <c r="B83">
        <v>127.725</v>
      </c>
      <c r="C83">
        <v>46</v>
      </c>
      <c r="D83">
        <v>3.594</v>
      </c>
    </row>
    <row r="84" spans="1:4" x14ac:dyDescent="0.25">
      <c r="A84">
        <v>1980</v>
      </c>
      <c r="B84">
        <v>129.096</v>
      </c>
      <c r="C84">
        <v>45.4</v>
      </c>
      <c r="D84">
        <v>3.628</v>
      </c>
    </row>
    <row r="85" spans="1:4" x14ac:dyDescent="0.25">
      <c r="A85">
        <v>2010</v>
      </c>
      <c r="B85">
        <v>130.449</v>
      </c>
      <c r="C85">
        <v>44.8</v>
      </c>
      <c r="D85">
        <v>3.662</v>
      </c>
    </row>
    <row r="86" spans="1:4" x14ac:dyDescent="0.25">
      <c r="A86">
        <v>2040</v>
      </c>
      <c r="B86">
        <v>131.784</v>
      </c>
      <c r="C86">
        <v>44.2</v>
      </c>
      <c r="D86">
        <v>3.695</v>
      </c>
    </row>
    <row r="87" spans="1:4" x14ac:dyDescent="0.25">
      <c r="A87">
        <v>2070</v>
      </c>
      <c r="B87">
        <v>133.101</v>
      </c>
      <c r="C87">
        <v>43.6</v>
      </c>
      <c r="D87">
        <v>3.727</v>
      </c>
    </row>
    <row r="88" spans="1:4" x14ac:dyDescent="0.25">
      <c r="A88">
        <v>2100</v>
      </c>
      <c r="B88">
        <v>134.4</v>
      </c>
      <c r="C88">
        <v>43</v>
      </c>
      <c r="D88">
        <v>3.758</v>
      </c>
    </row>
    <row r="89" spans="1:4" x14ac:dyDescent="0.25">
      <c r="A89">
        <v>2130</v>
      </c>
      <c r="B89">
        <v>135.681</v>
      </c>
      <c r="C89">
        <v>42.4</v>
      </c>
      <c r="D89">
        <v>3.789</v>
      </c>
    </row>
    <row r="90" spans="1:4" x14ac:dyDescent="0.25">
      <c r="A90">
        <v>2160</v>
      </c>
      <c r="B90">
        <v>136.944</v>
      </c>
      <c r="C90">
        <v>41.8</v>
      </c>
      <c r="D90">
        <v>3.818</v>
      </c>
    </row>
    <row r="91" spans="1:4" x14ac:dyDescent="0.25">
      <c r="A91">
        <v>2190</v>
      </c>
      <c r="B91">
        <v>138.189</v>
      </c>
      <c r="C91">
        <v>41.2</v>
      </c>
      <c r="D91">
        <v>3.846</v>
      </c>
    </row>
    <row r="92" spans="1:4" x14ac:dyDescent="0.25">
      <c r="A92">
        <v>2220</v>
      </c>
      <c r="B92">
        <v>139.416</v>
      </c>
      <c r="C92">
        <v>40.6</v>
      </c>
      <c r="D92">
        <v>3.874</v>
      </c>
    </row>
    <row r="93" spans="1:4" x14ac:dyDescent="0.25">
      <c r="A93">
        <v>2250</v>
      </c>
      <c r="B93">
        <v>140.625</v>
      </c>
      <c r="C93">
        <v>40</v>
      </c>
      <c r="D93">
        <v>3.9</v>
      </c>
    </row>
    <row r="94" spans="1:4" x14ac:dyDescent="0.25">
      <c r="A94">
        <v>2280</v>
      </c>
      <c r="B94">
        <v>141.816</v>
      </c>
      <c r="C94">
        <v>39.4</v>
      </c>
      <c r="D94">
        <v>3.926</v>
      </c>
    </row>
    <row r="95" spans="1:4" x14ac:dyDescent="0.25">
      <c r="A95">
        <v>2310</v>
      </c>
      <c r="B95">
        <v>142.989</v>
      </c>
      <c r="C95">
        <v>38.8</v>
      </c>
      <c r="D95">
        <v>3.951</v>
      </c>
    </row>
    <row r="96" spans="1:4" x14ac:dyDescent="0.25">
      <c r="A96">
        <v>2340</v>
      </c>
      <c r="B96">
        <v>144.144</v>
      </c>
      <c r="C96">
        <v>38.2</v>
      </c>
      <c r="D96">
        <v>3.974</v>
      </c>
    </row>
    <row r="97" spans="1:4" x14ac:dyDescent="0.25">
      <c r="A97">
        <v>2370</v>
      </c>
      <c r="B97">
        <v>145.281</v>
      </c>
      <c r="C97">
        <v>37.6</v>
      </c>
      <c r="D97">
        <v>3.997</v>
      </c>
    </row>
    <row r="98" spans="1:4" x14ac:dyDescent="0.25">
      <c r="A98">
        <v>2400</v>
      </c>
      <c r="B98">
        <v>146.4</v>
      </c>
      <c r="C98">
        <v>37</v>
      </c>
      <c r="D98">
        <v>4.019</v>
      </c>
    </row>
    <row r="99" spans="1:4" x14ac:dyDescent="0.25">
      <c r="A99">
        <v>2430</v>
      </c>
      <c r="B99">
        <v>147.501</v>
      </c>
      <c r="C99">
        <v>36.4</v>
      </c>
      <c r="D99">
        <v>4.039</v>
      </c>
    </row>
    <row r="100" spans="1:4" x14ac:dyDescent="0.25">
      <c r="A100">
        <v>2460</v>
      </c>
      <c r="B100">
        <v>148.584</v>
      </c>
      <c r="C100">
        <v>35.8</v>
      </c>
      <c r="D100">
        <v>4.059</v>
      </c>
    </row>
    <row r="101" spans="1:4" x14ac:dyDescent="0.25">
      <c r="A101">
        <v>2490</v>
      </c>
      <c r="B101">
        <v>149.649</v>
      </c>
      <c r="C101">
        <v>35.2</v>
      </c>
      <c r="D101">
        <v>4.078</v>
      </c>
    </row>
    <row r="102" spans="1:4" x14ac:dyDescent="0.25">
      <c r="A102">
        <v>2520</v>
      </c>
      <c r="B102">
        <v>150.696</v>
      </c>
      <c r="C102">
        <v>34.6</v>
      </c>
      <c r="D102">
        <v>4.095</v>
      </c>
    </row>
    <row r="103" spans="1:4" x14ac:dyDescent="0.25">
      <c r="A103">
        <v>2550</v>
      </c>
      <c r="B103">
        <v>151.725</v>
      </c>
      <c r="C103">
        <v>34</v>
      </c>
      <c r="D103">
        <v>4.112</v>
      </c>
    </row>
    <row r="104" spans="1:4" x14ac:dyDescent="0.25">
      <c r="A104">
        <v>2580</v>
      </c>
      <c r="B104">
        <v>152.736</v>
      </c>
      <c r="C104">
        <v>33.4</v>
      </c>
      <c r="D104">
        <v>4.128</v>
      </c>
    </row>
    <row r="105" spans="1:4" x14ac:dyDescent="0.25">
      <c r="A105">
        <v>2610</v>
      </c>
      <c r="B105">
        <v>153.729</v>
      </c>
      <c r="C105">
        <v>32.8</v>
      </c>
      <c r="D105">
        <v>4.142</v>
      </c>
    </row>
    <row r="106" spans="1:4" x14ac:dyDescent="0.25">
      <c r="A106">
        <v>2640</v>
      </c>
      <c r="B106">
        <v>154.704</v>
      </c>
      <c r="C106">
        <v>32.2</v>
      </c>
      <c r="D106">
        <v>4.156</v>
      </c>
    </row>
    <row r="107" spans="1:4" x14ac:dyDescent="0.25">
      <c r="A107">
        <v>2670</v>
      </c>
      <c r="B107">
        <v>155.661</v>
      </c>
      <c r="C107">
        <v>31.6</v>
      </c>
      <c r="D107">
        <v>4.168</v>
      </c>
    </row>
    <row r="108" spans="1:4" x14ac:dyDescent="0.25">
      <c r="A108">
        <v>2700</v>
      </c>
      <c r="B108">
        <v>156.6</v>
      </c>
      <c r="C108">
        <v>31</v>
      </c>
      <c r="D108">
        <v>4.18</v>
      </c>
    </row>
    <row r="109" spans="1:4" x14ac:dyDescent="0.25">
      <c r="A109">
        <v>2730</v>
      </c>
      <c r="B109">
        <v>157.521</v>
      </c>
      <c r="C109">
        <v>30.4</v>
      </c>
      <c r="D109">
        <v>4.19</v>
      </c>
    </row>
    <row r="110" spans="1:4" x14ac:dyDescent="0.25">
      <c r="A110">
        <v>2760</v>
      </c>
      <c r="B110">
        <v>158.424</v>
      </c>
      <c r="C110">
        <v>29.8</v>
      </c>
      <c r="D110">
        <v>4.199</v>
      </c>
    </row>
    <row r="111" spans="1:4" x14ac:dyDescent="0.25">
      <c r="A111">
        <v>2790</v>
      </c>
      <c r="B111">
        <v>159.309</v>
      </c>
      <c r="C111">
        <v>29.2</v>
      </c>
      <c r="D111">
        <v>4.207</v>
      </c>
    </row>
    <row r="112" spans="1:4" x14ac:dyDescent="0.25">
      <c r="A112">
        <v>2820</v>
      </c>
      <c r="B112">
        <v>160.176</v>
      </c>
      <c r="C112">
        <v>28.6</v>
      </c>
      <c r="D112">
        <v>4.215</v>
      </c>
    </row>
    <row r="113" spans="1:4" x14ac:dyDescent="0.25">
      <c r="A113">
        <v>2850</v>
      </c>
      <c r="B113">
        <v>161.025</v>
      </c>
      <c r="C113">
        <v>28</v>
      </c>
      <c r="D113">
        <v>4.221</v>
      </c>
    </row>
    <row r="114" spans="1:4" x14ac:dyDescent="0.25">
      <c r="A114">
        <v>2880</v>
      </c>
      <c r="B114">
        <v>161.856</v>
      </c>
      <c r="C114">
        <v>27.4</v>
      </c>
      <c r="D114">
        <v>4.226</v>
      </c>
    </row>
    <row r="115" spans="1:4" x14ac:dyDescent="0.25">
      <c r="A115">
        <v>2910</v>
      </c>
      <c r="B115">
        <v>162.669</v>
      </c>
      <c r="C115">
        <v>26.8</v>
      </c>
      <c r="D115">
        <v>4.23</v>
      </c>
    </row>
    <row r="116" spans="1:4" x14ac:dyDescent="0.25">
      <c r="A116">
        <v>2940</v>
      </c>
      <c r="B116">
        <v>163.464</v>
      </c>
      <c r="C116">
        <v>26.2</v>
      </c>
      <c r="D116">
        <v>4.232</v>
      </c>
    </row>
    <row r="117" spans="1:4" x14ac:dyDescent="0.25">
      <c r="A117">
        <v>2970</v>
      </c>
      <c r="B117">
        <v>164.241</v>
      </c>
      <c r="C117">
        <v>25.6</v>
      </c>
      <c r="D117">
        <v>4.234</v>
      </c>
    </row>
    <row r="118" spans="1:4" x14ac:dyDescent="0.25">
      <c r="A118">
        <v>3000</v>
      </c>
      <c r="B118">
        <v>165</v>
      </c>
      <c r="C118">
        <v>-25</v>
      </c>
      <c r="D118">
        <v>4.235</v>
      </c>
    </row>
    <row r="119" spans="1:4" x14ac:dyDescent="0.25">
      <c r="A119">
        <v>3030</v>
      </c>
      <c r="B119">
        <v>164.241</v>
      </c>
      <c r="C119">
        <v>-25.6</v>
      </c>
      <c r="D119">
        <v>4.234</v>
      </c>
    </row>
    <row r="120" spans="1:4" x14ac:dyDescent="0.25">
      <c r="A120">
        <v>3060</v>
      </c>
      <c r="B120">
        <v>163.464</v>
      </c>
      <c r="C120">
        <v>-26.2</v>
      </c>
      <c r="D120">
        <v>4.232</v>
      </c>
    </row>
    <row r="121" spans="1:4" x14ac:dyDescent="0.25">
      <c r="A121">
        <v>3090</v>
      </c>
      <c r="B121">
        <v>162.669</v>
      </c>
      <c r="C121">
        <v>-26.8</v>
      </c>
      <c r="D121">
        <v>4.23</v>
      </c>
    </row>
    <row r="122" spans="1:4" x14ac:dyDescent="0.25">
      <c r="A122">
        <v>3120</v>
      </c>
      <c r="B122">
        <v>161.856</v>
      </c>
      <c r="C122">
        <v>-27.4</v>
      </c>
      <c r="D122">
        <v>4.226</v>
      </c>
    </row>
    <row r="123" spans="1:4" x14ac:dyDescent="0.25">
      <c r="A123">
        <v>3150</v>
      </c>
      <c r="B123">
        <v>161.025</v>
      </c>
      <c r="C123">
        <v>-28</v>
      </c>
      <c r="D123">
        <v>4.221</v>
      </c>
    </row>
    <row r="124" spans="1:4" x14ac:dyDescent="0.25">
      <c r="A124">
        <v>3180</v>
      </c>
      <c r="B124">
        <v>160.176</v>
      </c>
      <c r="C124">
        <v>-28.6</v>
      </c>
      <c r="D124">
        <v>4.215</v>
      </c>
    </row>
    <row r="125" spans="1:4" x14ac:dyDescent="0.25">
      <c r="A125">
        <v>3210</v>
      </c>
      <c r="B125">
        <v>159.309</v>
      </c>
      <c r="C125">
        <v>-29.2</v>
      </c>
      <c r="D125">
        <v>4.207</v>
      </c>
    </row>
    <row r="126" spans="1:4" x14ac:dyDescent="0.25">
      <c r="A126">
        <v>3240</v>
      </c>
      <c r="B126">
        <v>158.424</v>
      </c>
      <c r="C126">
        <v>-29.8</v>
      </c>
      <c r="D126">
        <v>4.199</v>
      </c>
    </row>
    <row r="127" spans="1:4" x14ac:dyDescent="0.25">
      <c r="A127">
        <v>3270</v>
      </c>
      <c r="B127">
        <v>157.521</v>
      </c>
      <c r="C127">
        <v>-30.4</v>
      </c>
      <c r="D127">
        <v>4.19</v>
      </c>
    </row>
    <row r="128" spans="1:4" x14ac:dyDescent="0.25">
      <c r="A128">
        <v>3300</v>
      </c>
      <c r="B128">
        <v>156.6</v>
      </c>
      <c r="C128">
        <v>-31</v>
      </c>
      <c r="D128">
        <v>4.18</v>
      </c>
    </row>
    <row r="129" spans="1:4" x14ac:dyDescent="0.25">
      <c r="A129">
        <v>3330</v>
      </c>
      <c r="B129">
        <v>155.661</v>
      </c>
      <c r="C129">
        <v>-31.6</v>
      </c>
      <c r="D129">
        <v>4.168</v>
      </c>
    </row>
    <row r="130" spans="1:4" x14ac:dyDescent="0.25">
      <c r="A130">
        <v>3360</v>
      </c>
      <c r="B130">
        <v>154.704</v>
      </c>
      <c r="C130">
        <v>-32.2</v>
      </c>
      <c r="D130">
        <v>4.156</v>
      </c>
    </row>
    <row r="131" spans="1:4" x14ac:dyDescent="0.25">
      <c r="A131">
        <v>3390</v>
      </c>
      <c r="B131">
        <v>153.729</v>
      </c>
      <c r="C131">
        <v>-32.8</v>
      </c>
      <c r="D131">
        <v>4.142</v>
      </c>
    </row>
    <row r="132" spans="1:4" x14ac:dyDescent="0.25">
      <c r="A132">
        <v>3420</v>
      </c>
      <c r="B132">
        <v>152.736</v>
      </c>
      <c r="C132">
        <v>-33.4</v>
      </c>
      <c r="D132">
        <v>4.128</v>
      </c>
    </row>
    <row r="133" spans="1:4" x14ac:dyDescent="0.25">
      <c r="A133">
        <v>3450</v>
      </c>
      <c r="B133">
        <v>151.725</v>
      </c>
      <c r="C133">
        <v>-34</v>
      </c>
      <c r="D133">
        <v>4.112</v>
      </c>
    </row>
    <row r="134" spans="1:4" x14ac:dyDescent="0.25">
      <c r="A134">
        <v>3480</v>
      </c>
      <c r="B134">
        <v>150.696</v>
      </c>
      <c r="C134">
        <v>-34.6</v>
      </c>
      <c r="D134">
        <v>4.095</v>
      </c>
    </row>
    <row r="135" spans="1:4" x14ac:dyDescent="0.25">
      <c r="A135">
        <v>3510</v>
      </c>
      <c r="B135">
        <v>149.649</v>
      </c>
      <c r="C135">
        <v>-35.2</v>
      </c>
      <c r="D135">
        <v>4.078</v>
      </c>
    </row>
    <row r="136" spans="1:4" x14ac:dyDescent="0.25">
      <c r="A136">
        <v>3540</v>
      </c>
      <c r="B136">
        <v>148.584</v>
      </c>
      <c r="C136">
        <v>-35.8</v>
      </c>
      <c r="D136">
        <v>4.059</v>
      </c>
    </row>
    <row r="137" spans="1:4" x14ac:dyDescent="0.25">
      <c r="A137">
        <v>3570</v>
      </c>
      <c r="B137">
        <v>147.501</v>
      </c>
      <c r="C137">
        <v>-36.4</v>
      </c>
      <c r="D137">
        <v>4.039</v>
      </c>
    </row>
    <row r="138" spans="1:4" x14ac:dyDescent="0.25">
      <c r="A138">
        <v>3600</v>
      </c>
      <c r="B138">
        <v>146.4</v>
      </c>
      <c r="C138">
        <v>-37</v>
      </c>
      <c r="D138">
        <v>4.019</v>
      </c>
    </row>
    <row r="139" spans="1:4" x14ac:dyDescent="0.25">
      <c r="A139">
        <v>3630</v>
      </c>
      <c r="B139">
        <v>145.281</v>
      </c>
      <c r="C139">
        <v>-37.6</v>
      </c>
      <c r="D139">
        <v>3.997</v>
      </c>
    </row>
    <row r="140" spans="1:4" x14ac:dyDescent="0.25">
      <c r="A140">
        <v>3660</v>
      </c>
      <c r="B140">
        <v>144.144</v>
      </c>
      <c r="C140">
        <v>-38.2</v>
      </c>
      <c r="D140">
        <v>3.974</v>
      </c>
    </row>
    <row r="141" spans="1:4" x14ac:dyDescent="0.25">
      <c r="A141">
        <v>3690</v>
      </c>
      <c r="B141">
        <v>142.989</v>
      </c>
      <c r="C141">
        <v>-38.8</v>
      </c>
      <c r="D141">
        <v>3.951</v>
      </c>
    </row>
    <row r="142" spans="1:4" x14ac:dyDescent="0.25">
      <c r="A142">
        <v>3720</v>
      </c>
      <c r="B142">
        <v>141.816</v>
      </c>
      <c r="C142">
        <v>-39.4</v>
      </c>
      <c r="D142">
        <v>3.926</v>
      </c>
    </row>
    <row r="143" spans="1:4" x14ac:dyDescent="0.25">
      <c r="A143">
        <v>3750</v>
      </c>
      <c r="B143">
        <v>140.625</v>
      </c>
      <c r="C143">
        <v>-40</v>
      </c>
      <c r="D143">
        <v>3.9</v>
      </c>
    </row>
    <row r="144" spans="1:4" x14ac:dyDescent="0.25">
      <c r="A144">
        <v>3780</v>
      </c>
      <c r="B144">
        <v>139.416</v>
      </c>
      <c r="C144">
        <v>-40.6</v>
      </c>
      <c r="D144">
        <v>3.874</v>
      </c>
    </row>
    <row r="145" spans="1:4" x14ac:dyDescent="0.25">
      <c r="A145">
        <v>3810</v>
      </c>
      <c r="B145">
        <v>138.189</v>
      </c>
      <c r="C145">
        <v>-41.2</v>
      </c>
      <c r="D145">
        <v>3.846</v>
      </c>
    </row>
    <row r="146" spans="1:4" x14ac:dyDescent="0.25">
      <c r="A146">
        <v>3840</v>
      </c>
      <c r="B146">
        <v>136.944</v>
      </c>
      <c r="C146">
        <v>-41.8</v>
      </c>
      <c r="D146">
        <v>3.818</v>
      </c>
    </row>
    <row r="147" spans="1:4" x14ac:dyDescent="0.25">
      <c r="A147">
        <v>3870</v>
      </c>
      <c r="B147">
        <v>135.681</v>
      </c>
      <c r="C147">
        <v>-42.4</v>
      </c>
      <c r="D147">
        <v>3.789</v>
      </c>
    </row>
    <row r="148" spans="1:4" x14ac:dyDescent="0.25">
      <c r="A148">
        <v>3900</v>
      </c>
      <c r="B148">
        <v>134.4</v>
      </c>
      <c r="C148">
        <v>-43</v>
      </c>
      <c r="D148">
        <v>3.758</v>
      </c>
    </row>
    <row r="149" spans="1:4" x14ac:dyDescent="0.25">
      <c r="A149">
        <v>3930</v>
      </c>
      <c r="B149">
        <v>133.101</v>
      </c>
      <c r="C149">
        <v>-43.6</v>
      </c>
      <c r="D149">
        <v>3.727</v>
      </c>
    </row>
    <row r="150" spans="1:4" x14ac:dyDescent="0.25">
      <c r="A150">
        <v>3960</v>
      </c>
      <c r="B150">
        <v>131.784</v>
      </c>
      <c r="C150">
        <v>-44.2</v>
      </c>
      <c r="D150">
        <v>3.695</v>
      </c>
    </row>
    <row r="151" spans="1:4" x14ac:dyDescent="0.25">
      <c r="A151">
        <v>3990</v>
      </c>
      <c r="B151">
        <v>130.449</v>
      </c>
      <c r="C151">
        <v>-44.8</v>
      </c>
      <c r="D151">
        <v>3.662</v>
      </c>
    </row>
    <row r="152" spans="1:4" x14ac:dyDescent="0.25">
      <c r="A152">
        <v>4020</v>
      </c>
      <c r="B152">
        <v>129.096</v>
      </c>
      <c r="C152">
        <v>-45.4</v>
      </c>
      <c r="D152">
        <v>3.628</v>
      </c>
    </row>
    <row r="153" spans="1:4" x14ac:dyDescent="0.25">
      <c r="A153">
        <v>4050</v>
      </c>
      <c r="B153">
        <v>127.725</v>
      </c>
      <c r="C153">
        <v>-46</v>
      </c>
      <c r="D153">
        <v>3.594</v>
      </c>
    </row>
    <row r="154" spans="1:4" x14ac:dyDescent="0.25">
      <c r="A154">
        <v>4080</v>
      </c>
      <c r="B154">
        <v>126.336</v>
      </c>
      <c r="C154">
        <v>-46.6</v>
      </c>
      <c r="D154">
        <v>3.558</v>
      </c>
    </row>
    <row r="155" spans="1:4" x14ac:dyDescent="0.25">
      <c r="A155">
        <v>4110</v>
      </c>
      <c r="B155">
        <v>124.929</v>
      </c>
      <c r="C155">
        <v>-47.2</v>
      </c>
      <c r="D155">
        <v>3.522</v>
      </c>
    </row>
    <row r="156" spans="1:4" x14ac:dyDescent="0.25">
      <c r="A156">
        <v>4140</v>
      </c>
      <c r="B156">
        <v>123.504</v>
      </c>
      <c r="C156">
        <v>-47.8</v>
      </c>
      <c r="D156">
        <v>3.484</v>
      </c>
    </row>
    <row r="157" spans="1:4" x14ac:dyDescent="0.25">
      <c r="A157">
        <v>4170</v>
      </c>
      <c r="B157">
        <v>122.061</v>
      </c>
      <c r="C157">
        <v>-48.4</v>
      </c>
      <c r="D157">
        <v>3.446</v>
      </c>
    </row>
    <row r="158" spans="1:4" x14ac:dyDescent="0.25">
      <c r="A158">
        <v>4200</v>
      </c>
      <c r="B158">
        <v>120.6</v>
      </c>
      <c r="C158">
        <v>-49</v>
      </c>
      <c r="D158">
        <v>3.407</v>
      </c>
    </row>
    <row r="159" spans="1:4" x14ac:dyDescent="0.25">
      <c r="A159">
        <v>4230</v>
      </c>
      <c r="B159">
        <v>119.121</v>
      </c>
      <c r="C159">
        <v>-49.6</v>
      </c>
      <c r="D159">
        <v>3.368</v>
      </c>
    </row>
    <row r="160" spans="1:4" x14ac:dyDescent="0.25">
      <c r="A160">
        <v>4260</v>
      </c>
      <c r="B160">
        <v>117.624</v>
      </c>
      <c r="C160">
        <v>-50.2</v>
      </c>
      <c r="D160">
        <v>3.327</v>
      </c>
    </row>
    <row r="161" spans="1:4" x14ac:dyDescent="0.25">
      <c r="A161">
        <v>4290</v>
      </c>
      <c r="B161">
        <v>116.109</v>
      </c>
      <c r="C161">
        <v>-50.8</v>
      </c>
      <c r="D161">
        <v>3.286</v>
      </c>
    </row>
    <row r="162" spans="1:4" x14ac:dyDescent="0.25">
      <c r="A162">
        <v>4320</v>
      </c>
      <c r="B162">
        <v>114.576</v>
      </c>
      <c r="C162">
        <v>-51.4</v>
      </c>
      <c r="D162">
        <v>3.244</v>
      </c>
    </row>
    <row r="163" spans="1:4" x14ac:dyDescent="0.25">
      <c r="A163">
        <v>4350</v>
      </c>
      <c r="B163">
        <v>113.025</v>
      </c>
      <c r="C163">
        <v>-52</v>
      </c>
      <c r="D163">
        <v>3.201</v>
      </c>
    </row>
    <row r="164" spans="1:4" x14ac:dyDescent="0.25">
      <c r="A164">
        <v>4380</v>
      </c>
      <c r="B164">
        <v>111.456</v>
      </c>
      <c r="C164">
        <v>-52.6</v>
      </c>
      <c r="D164">
        <v>3.157</v>
      </c>
    </row>
    <row r="165" spans="1:4" x14ac:dyDescent="0.25">
      <c r="A165">
        <v>4410</v>
      </c>
      <c r="B165">
        <v>109.869</v>
      </c>
      <c r="C165">
        <v>-53.2</v>
      </c>
      <c r="D165">
        <v>3.113</v>
      </c>
    </row>
    <row r="166" spans="1:4" x14ac:dyDescent="0.25">
      <c r="A166">
        <v>4440</v>
      </c>
      <c r="B166">
        <v>108.264</v>
      </c>
      <c r="C166">
        <v>-53.8</v>
      </c>
      <c r="D166">
        <v>3.067</v>
      </c>
    </row>
    <row r="167" spans="1:4" x14ac:dyDescent="0.25">
      <c r="A167">
        <v>4470</v>
      </c>
      <c r="B167">
        <v>106.641</v>
      </c>
      <c r="C167">
        <v>-54.4</v>
      </c>
      <c r="D167">
        <v>3.021</v>
      </c>
    </row>
    <row r="168" spans="1:4" x14ac:dyDescent="0.25">
      <c r="A168">
        <v>4500</v>
      </c>
      <c r="B168">
        <v>105</v>
      </c>
      <c r="C168">
        <v>-55</v>
      </c>
      <c r="D168">
        <v>2.975</v>
      </c>
    </row>
    <row r="169" spans="1:4" x14ac:dyDescent="0.25">
      <c r="A169">
        <v>4530</v>
      </c>
      <c r="B169">
        <v>103.341</v>
      </c>
      <c r="C169">
        <v>-55.6</v>
      </c>
      <c r="D169">
        <v>2.927</v>
      </c>
    </row>
    <row r="170" spans="1:4" x14ac:dyDescent="0.25">
      <c r="A170">
        <v>4560</v>
      </c>
      <c r="B170">
        <v>101.664</v>
      </c>
      <c r="C170">
        <v>-56.2</v>
      </c>
      <c r="D170">
        <v>2.879</v>
      </c>
    </row>
    <row r="171" spans="1:4" x14ac:dyDescent="0.25">
      <c r="A171">
        <v>4590</v>
      </c>
      <c r="B171">
        <v>99.969</v>
      </c>
      <c r="C171">
        <v>-56.8</v>
      </c>
      <c r="D171">
        <v>2.831</v>
      </c>
    </row>
    <row r="172" spans="1:4" x14ac:dyDescent="0.25">
      <c r="A172">
        <v>4620</v>
      </c>
      <c r="B172">
        <v>98.256</v>
      </c>
      <c r="C172">
        <v>-57.4</v>
      </c>
      <c r="D172">
        <v>2.781</v>
      </c>
    </row>
    <row r="173" spans="1:4" x14ac:dyDescent="0.25">
      <c r="A173">
        <v>4650</v>
      </c>
      <c r="B173">
        <v>96.525</v>
      </c>
      <c r="C173">
        <v>-58</v>
      </c>
      <c r="D173">
        <v>2.731</v>
      </c>
    </row>
    <row r="174" spans="1:4" x14ac:dyDescent="0.25">
      <c r="A174">
        <v>4680</v>
      </c>
      <c r="B174">
        <v>94.776</v>
      </c>
      <c r="C174">
        <v>-58.6</v>
      </c>
      <c r="D174">
        <v>2.68</v>
      </c>
    </row>
    <row r="175" spans="1:4" x14ac:dyDescent="0.25">
      <c r="A175">
        <v>4710</v>
      </c>
      <c r="B175">
        <v>93.009</v>
      </c>
      <c r="C175">
        <v>-59.2</v>
      </c>
      <c r="D175">
        <v>2.629</v>
      </c>
    </row>
    <row r="176" spans="1:4" x14ac:dyDescent="0.25">
      <c r="A176">
        <v>4740</v>
      </c>
      <c r="B176">
        <v>91.224</v>
      </c>
      <c r="C176">
        <v>-59.8</v>
      </c>
      <c r="D176">
        <v>2.577</v>
      </c>
    </row>
    <row r="177" spans="1:4" x14ac:dyDescent="0.25">
      <c r="A177">
        <v>4770</v>
      </c>
      <c r="B177">
        <v>89.421</v>
      </c>
      <c r="C177">
        <v>-60.4</v>
      </c>
      <c r="D177">
        <v>2.524</v>
      </c>
    </row>
    <row r="178" spans="1:4" x14ac:dyDescent="0.25">
      <c r="A178">
        <v>4800</v>
      </c>
      <c r="B178">
        <v>87.6</v>
      </c>
      <c r="C178">
        <v>-61</v>
      </c>
      <c r="D178">
        <v>2.471</v>
      </c>
    </row>
    <row r="179" spans="1:4" x14ac:dyDescent="0.25">
      <c r="A179">
        <v>4830</v>
      </c>
      <c r="B179">
        <v>85.761</v>
      </c>
      <c r="C179">
        <v>-61.6</v>
      </c>
      <c r="D179">
        <v>2.417</v>
      </c>
    </row>
    <row r="180" spans="1:4" x14ac:dyDescent="0.25">
      <c r="A180">
        <v>4860</v>
      </c>
      <c r="B180">
        <v>83.904</v>
      </c>
      <c r="C180">
        <v>-62.2</v>
      </c>
      <c r="D180">
        <v>2.363</v>
      </c>
    </row>
    <row r="181" spans="1:4" x14ac:dyDescent="0.25">
      <c r="A181">
        <v>4890</v>
      </c>
      <c r="B181">
        <v>82.029</v>
      </c>
      <c r="C181">
        <v>-62.8</v>
      </c>
      <c r="D181">
        <v>2.308</v>
      </c>
    </row>
    <row r="182" spans="1:4" x14ac:dyDescent="0.25">
      <c r="A182">
        <v>4920</v>
      </c>
      <c r="B182">
        <v>80.136</v>
      </c>
      <c r="C182">
        <v>-63.4</v>
      </c>
      <c r="D182">
        <v>2.252</v>
      </c>
    </row>
    <row r="183" spans="1:4" x14ac:dyDescent="0.25">
      <c r="A183">
        <v>4950</v>
      </c>
      <c r="B183">
        <v>78.225</v>
      </c>
      <c r="C183">
        <v>-64</v>
      </c>
      <c r="D183">
        <v>2.196</v>
      </c>
    </row>
    <row r="184" spans="1:4" x14ac:dyDescent="0.25">
      <c r="A184">
        <v>4980</v>
      </c>
      <c r="B184">
        <v>76.296</v>
      </c>
      <c r="C184">
        <v>-64.6</v>
      </c>
      <c r="D184">
        <v>2.14</v>
      </c>
    </row>
    <row r="185" spans="1:4" x14ac:dyDescent="0.25">
      <c r="A185">
        <v>5010</v>
      </c>
      <c r="B185">
        <v>74.349</v>
      </c>
      <c r="C185">
        <v>-65.2</v>
      </c>
      <c r="D185">
        <v>2.082</v>
      </c>
    </row>
    <row r="186" spans="1:4" x14ac:dyDescent="0.25">
      <c r="A186">
        <v>5040</v>
      </c>
      <c r="B186">
        <v>72.384</v>
      </c>
      <c r="C186">
        <v>-65.8</v>
      </c>
      <c r="D186">
        <v>2.025</v>
      </c>
    </row>
    <row r="187" spans="1:4" x14ac:dyDescent="0.25">
      <c r="A187">
        <v>5070</v>
      </c>
      <c r="B187">
        <v>70.401</v>
      </c>
      <c r="C187">
        <v>-66.4</v>
      </c>
      <c r="D187">
        <v>1.967</v>
      </c>
    </row>
    <row r="188" spans="1:4" x14ac:dyDescent="0.25">
      <c r="A188">
        <v>5100</v>
      </c>
      <c r="B188">
        <v>68.4</v>
      </c>
      <c r="C188">
        <v>-67</v>
      </c>
      <c r="D188">
        <v>1.908</v>
      </c>
    </row>
    <row r="189" spans="1:4" x14ac:dyDescent="0.25">
      <c r="A189">
        <v>5130</v>
      </c>
      <c r="B189">
        <v>66.381</v>
      </c>
      <c r="C189">
        <v>-67.6</v>
      </c>
      <c r="D189">
        <v>1.849</v>
      </c>
    </row>
    <row r="190" spans="1:4" x14ac:dyDescent="0.25">
      <c r="A190">
        <v>5160</v>
      </c>
      <c r="B190">
        <v>64.344</v>
      </c>
      <c r="C190">
        <v>-68.2</v>
      </c>
      <c r="D190">
        <v>1.79</v>
      </c>
    </row>
    <row r="191" spans="1:4" x14ac:dyDescent="0.25">
      <c r="A191">
        <v>5190</v>
      </c>
      <c r="B191">
        <v>62.289</v>
      </c>
      <c r="C191">
        <v>-68.8</v>
      </c>
      <c r="D191">
        <v>1.73</v>
      </c>
    </row>
    <row r="192" spans="1:4" x14ac:dyDescent="0.25">
      <c r="A192">
        <v>5220</v>
      </c>
      <c r="B192">
        <v>60.216</v>
      </c>
      <c r="C192">
        <v>-69.4</v>
      </c>
      <c r="D192">
        <v>1.669</v>
      </c>
    </row>
    <row r="193" spans="1:4" x14ac:dyDescent="0.25">
      <c r="A193">
        <v>5250</v>
      </c>
      <c r="B193">
        <v>58.125</v>
      </c>
      <c r="C193">
        <v>-70</v>
      </c>
      <c r="D193">
        <v>1.608</v>
      </c>
    </row>
    <row r="194" spans="1:4" x14ac:dyDescent="0.25">
      <c r="A194">
        <v>5280</v>
      </c>
      <c r="B194">
        <v>56.016</v>
      </c>
      <c r="C194">
        <v>-70.6</v>
      </c>
      <c r="D194">
        <v>1.547</v>
      </c>
    </row>
    <row r="195" spans="1:4" x14ac:dyDescent="0.25">
      <c r="A195">
        <v>5310</v>
      </c>
      <c r="B195">
        <v>53.889</v>
      </c>
      <c r="C195">
        <v>-71.2</v>
      </c>
      <c r="D195">
        <v>1.486</v>
      </c>
    </row>
    <row r="196" spans="1:4" x14ac:dyDescent="0.25">
      <c r="A196">
        <v>5340</v>
      </c>
      <c r="B196">
        <v>51.744</v>
      </c>
      <c r="C196">
        <v>-71.8</v>
      </c>
      <c r="D196">
        <v>1.424</v>
      </c>
    </row>
    <row r="197" spans="1:4" x14ac:dyDescent="0.25">
      <c r="A197">
        <v>5370</v>
      </c>
      <c r="B197">
        <v>49.581</v>
      </c>
      <c r="C197">
        <v>-72.4</v>
      </c>
      <c r="D197">
        <v>1.362</v>
      </c>
    </row>
    <row r="198" spans="1:4" x14ac:dyDescent="0.25">
      <c r="A198">
        <v>5400</v>
      </c>
      <c r="B198">
        <v>47.4</v>
      </c>
      <c r="C198">
        <v>-73</v>
      </c>
      <c r="D198">
        <v>1.299</v>
      </c>
    </row>
    <row r="199" spans="1:4" x14ac:dyDescent="0.25">
      <c r="A199">
        <v>5430</v>
      </c>
      <c r="B199">
        <v>45.201</v>
      </c>
      <c r="C199">
        <v>-73.6</v>
      </c>
      <c r="D199">
        <v>1.236</v>
      </c>
    </row>
    <row r="200" spans="1:4" x14ac:dyDescent="0.25">
      <c r="A200">
        <v>5460</v>
      </c>
      <c r="B200">
        <v>42.984</v>
      </c>
      <c r="C200">
        <v>-74.2</v>
      </c>
      <c r="D200">
        <v>1.173</v>
      </c>
    </row>
    <row r="201" spans="1:4" x14ac:dyDescent="0.25">
      <c r="A201">
        <v>5490</v>
      </c>
      <c r="B201">
        <v>40.749</v>
      </c>
      <c r="C201">
        <v>-74.8</v>
      </c>
      <c r="D201">
        <v>1.109</v>
      </c>
    </row>
    <row r="202" spans="1:4" x14ac:dyDescent="0.25">
      <c r="A202">
        <v>5520</v>
      </c>
      <c r="B202">
        <v>38.496</v>
      </c>
      <c r="C202">
        <v>-75.4</v>
      </c>
      <c r="D202">
        <v>1.045</v>
      </c>
    </row>
    <row r="203" spans="1:4" x14ac:dyDescent="0.25">
      <c r="A203">
        <v>5550</v>
      </c>
      <c r="B203">
        <v>36.225</v>
      </c>
      <c r="C203">
        <v>-76</v>
      </c>
      <c r="D203">
        <v>0.981</v>
      </c>
    </row>
    <row r="204" spans="1:4" x14ac:dyDescent="0.25">
      <c r="A204">
        <v>5580</v>
      </c>
      <c r="B204">
        <v>33.936</v>
      </c>
      <c r="C204">
        <v>-76.6</v>
      </c>
      <c r="D204">
        <v>0.917</v>
      </c>
    </row>
    <row r="205" spans="1:4" x14ac:dyDescent="0.25">
      <c r="A205">
        <v>5610</v>
      </c>
      <c r="B205">
        <v>31.629</v>
      </c>
      <c r="C205">
        <v>-77.2</v>
      </c>
      <c r="D205">
        <v>0.853</v>
      </c>
    </row>
    <row r="206" spans="1:4" x14ac:dyDescent="0.25">
      <c r="A206">
        <v>5640</v>
      </c>
      <c r="B206">
        <v>29.304</v>
      </c>
      <c r="C206">
        <v>-77.8</v>
      </c>
      <c r="D206">
        <v>0.788</v>
      </c>
    </row>
    <row r="207" spans="1:4" x14ac:dyDescent="0.25">
      <c r="A207">
        <v>5670</v>
      </c>
      <c r="B207">
        <v>26.961</v>
      </c>
      <c r="C207">
        <v>-78.4</v>
      </c>
      <c r="D207">
        <v>0.723</v>
      </c>
    </row>
    <row r="208" spans="1:4" x14ac:dyDescent="0.25">
      <c r="A208">
        <v>5700</v>
      </c>
      <c r="B208">
        <v>24.6</v>
      </c>
      <c r="C208">
        <v>-79</v>
      </c>
      <c r="D208">
        <v>0.658</v>
      </c>
    </row>
    <row r="209" spans="1:4" x14ac:dyDescent="0.25">
      <c r="A209">
        <v>5730</v>
      </c>
      <c r="B209">
        <v>22.221</v>
      </c>
      <c r="C209">
        <v>-79.6</v>
      </c>
      <c r="D209">
        <v>0.592</v>
      </c>
    </row>
    <row r="210" spans="1:4" x14ac:dyDescent="0.25">
      <c r="A210">
        <v>5760</v>
      </c>
      <c r="B210">
        <v>19.824</v>
      </c>
      <c r="C210">
        <v>-80.2</v>
      </c>
      <c r="D210">
        <v>0.527</v>
      </c>
    </row>
    <row r="211" spans="1:4" x14ac:dyDescent="0.25">
      <c r="A211">
        <v>5790</v>
      </c>
      <c r="B211">
        <v>17.409</v>
      </c>
      <c r="C211">
        <v>-80.8</v>
      </c>
      <c r="D211">
        <v>0.461</v>
      </c>
    </row>
    <row r="212" spans="1:4" x14ac:dyDescent="0.25">
      <c r="A212">
        <v>5820</v>
      </c>
      <c r="B212">
        <v>14.976</v>
      </c>
      <c r="C212">
        <v>-81.4</v>
      </c>
      <c r="D212">
        <v>0.396</v>
      </c>
    </row>
    <row r="213" spans="1:4" x14ac:dyDescent="0.25">
      <c r="A213">
        <v>5850</v>
      </c>
      <c r="B213">
        <v>12.525</v>
      </c>
      <c r="C213">
        <v>-82</v>
      </c>
      <c r="D213">
        <v>0.33</v>
      </c>
    </row>
    <row r="214" spans="1:4" x14ac:dyDescent="0.25">
      <c r="A214">
        <v>5880</v>
      </c>
      <c r="B214">
        <v>10.056</v>
      </c>
      <c r="C214">
        <v>-82.6</v>
      </c>
      <c r="D214">
        <v>0.264</v>
      </c>
    </row>
    <row r="215" spans="1:4" x14ac:dyDescent="0.25">
      <c r="A215">
        <v>5910</v>
      </c>
      <c r="B215">
        <v>7.569</v>
      </c>
      <c r="C215">
        <v>-83.2</v>
      </c>
      <c r="D215">
        <v>0.198</v>
      </c>
    </row>
    <row r="216" spans="1:4" x14ac:dyDescent="0.25">
      <c r="A216">
        <v>5940</v>
      </c>
      <c r="B216">
        <v>5.064</v>
      </c>
      <c r="C216">
        <v>-83.8</v>
      </c>
      <c r="D216">
        <v>0.132</v>
      </c>
    </row>
    <row r="217" spans="1:4" x14ac:dyDescent="0.25">
      <c r="A217">
        <v>5970</v>
      </c>
      <c r="B217">
        <v>2.541</v>
      </c>
      <c r="C217">
        <v>-84.4</v>
      </c>
      <c r="D217">
        <v>0.066</v>
      </c>
    </row>
    <row r="218" spans="1:4" x14ac:dyDescent="0.25">
      <c r="A218">
        <v>6000</v>
      </c>
      <c r="B218">
        <v>0</v>
      </c>
      <c r="C218">
        <v>-85</v>
      </c>
      <c r="D2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30" customWidth="1"/>
    <col min="3" max="5" width="14" customWidth="1"/>
    <col min="6" max="7" width="12" customWidth="1"/>
  </cols>
  <sheetData>
    <row r="1" spans="1:2" s="4" customFormat="1" x14ac:dyDescent="0.25">
      <c r="A1" s="4" t="s">
        <v>4</v>
      </c>
      <c r="B1" s="4" t="s">
        <v>6</v>
      </c>
    </row>
    <row r="2" spans="1:2" x14ac:dyDescent="0.25">
      <c r="A2" t="s">
        <v>309</v>
      </c>
      <c r="B2" t="s">
        <v>310</v>
      </c>
    </row>
    <row r="3" spans="1:2" x14ac:dyDescent="0.25">
      <c r="A3" t="s">
        <v>311</v>
      </c>
      <c r="B3">
        <v>2000</v>
      </c>
    </row>
    <row r="4" spans="1:2" x14ac:dyDescent="0.25">
      <c r="A4" t="s">
        <v>286</v>
      </c>
      <c r="B4">
        <v>6000</v>
      </c>
    </row>
    <row r="5" spans="1:2" x14ac:dyDescent="0.25">
      <c r="A5" t="s">
        <v>312</v>
      </c>
      <c r="B5">
        <v>10</v>
      </c>
    </row>
    <row r="6" spans="1:2" x14ac:dyDescent="0.25">
      <c r="A6" t="s">
        <v>313</v>
      </c>
      <c r="B6">
        <v>5</v>
      </c>
    </row>
    <row r="7" spans="1:2" x14ac:dyDescent="0.25">
      <c r="A7" t="s">
        <v>314</v>
      </c>
      <c r="B7">
        <v>200</v>
      </c>
    </row>
    <row r="8" spans="1:2" x14ac:dyDescent="0.25">
      <c r="A8" t="s">
        <v>315</v>
      </c>
      <c r="B8" t="s">
        <v>316</v>
      </c>
    </row>
    <row r="9" spans="1:2" x14ac:dyDescent="0.25">
      <c r="A9" t="s">
        <v>12</v>
      </c>
      <c r="B9" t="s">
        <v>317</v>
      </c>
    </row>
    <row r="10" spans="1:2" x14ac:dyDescent="0.25">
      <c r="A10" t="s">
        <v>12</v>
      </c>
      <c r="B10" t="s">
        <v>318</v>
      </c>
    </row>
    <row r="11" spans="1:2" x14ac:dyDescent="0.25">
      <c r="A11" t="s">
        <v>319</v>
      </c>
      <c r="B11" t="s">
        <v>320</v>
      </c>
    </row>
    <row r="12" spans="1:2" x14ac:dyDescent="0.25">
      <c r="A12" t="s">
        <v>321</v>
      </c>
      <c r="B12" t="s">
        <v>322</v>
      </c>
    </row>
    <row r="13" spans="1:2" x14ac:dyDescent="0.25">
      <c r="A13" t="s">
        <v>323</v>
      </c>
      <c r="B13" t="s">
        <v>324</v>
      </c>
    </row>
    <row r="14" spans="1:2" x14ac:dyDescent="0.25">
      <c r="A14" t="s">
        <v>325</v>
      </c>
      <c r="B14" t="s">
        <v>326</v>
      </c>
    </row>
    <row r="15" spans="1:2" x14ac:dyDescent="0.25">
      <c r="A15" t="s">
        <v>327</v>
      </c>
      <c r="B15" t="s">
        <v>328</v>
      </c>
    </row>
    <row r="16" spans="1:2" x14ac:dyDescent="0.25">
      <c r="A16" t="s">
        <v>329</v>
      </c>
      <c r="B16" t="s">
        <v>330</v>
      </c>
    </row>
    <row r="17" spans="1:2" x14ac:dyDescent="0.25">
      <c r="A17" t="s">
        <v>331</v>
      </c>
      <c r="B17" t="s">
        <v>332</v>
      </c>
    </row>
    <row r="19" spans="1:7" s="21" customFormat="1" x14ac:dyDescent="0.25">
      <c r="A19" s="21" t="s">
        <v>333</v>
      </c>
      <c r="B19" s="21" t="s">
        <v>334</v>
      </c>
      <c r="C19" s="21" t="s">
        <v>335</v>
      </c>
      <c r="D19" s="21" t="s">
        <v>336</v>
      </c>
      <c r="E19" s="21" t="s">
        <v>337</v>
      </c>
      <c r="F19" s="21" t="s">
        <v>338</v>
      </c>
      <c r="G19" s="21" t="s">
        <v>339</v>
      </c>
    </row>
    <row r="20" spans="1:7" x14ac:dyDescent="0.25">
      <c r="A20">
        <v>1</v>
      </c>
      <c r="B20">
        <v>2.297</v>
      </c>
      <c r="C20">
        <v>81.43</v>
      </c>
      <c r="D20">
        <v>36</v>
      </c>
      <c r="E20">
        <v>0</v>
      </c>
      <c r="F20">
        <v>0</v>
      </c>
      <c r="G20">
        <v>7</v>
      </c>
    </row>
    <row r="21" spans="1:7" x14ac:dyDescent="0.25">
      <c r="A21">
        <v>2</v>
      </c>
      <c r="B21">
        <v>4.619</v>
      </c>
      <c r="C21">
        <v>114.13</v>
      </c>
      <c r="D21">
        <v>76</v>
      </c>
      <c r="E21">
        <v>0</v>
      </c>
      <c r="F21">
        <v>0</v>
      </c>
      <c r="G21">
        <v>10</v>
      </c>
    </row>
    <row r="22" spans="1:7" x14ac:dyDescent="0.25">
      <c r="A22">
        <v>3</v>
      </c>
      <c r="B22">
        <v>6.861</v>
      </c>
      <c r="C22">
        <v>134.33</v>
      </c>
      <c r="D22">
        <v>104</v>
      </c>
      <c r="E22">
        <v>0</v>
      </c>
      <c r="F22">
        <v>0</v>
      </c>
      <c r="G22">
        <v>17</v>
      </c>
    </row>
    <row r="23" spans="1:7" x14ac:dyDescent="0.25">
      <c r="A23">
        <v>4</v>
      </c>
      <c r="B23">
        <v>9.208</v>
      </c>
      <c r="C23">
        <v>141.07</v>
      </c>
      <c r="D23">
        <v>112</v>
      </c>
      <c r="E23">
        <v>0</v>
      </c>
      <c r="F23">
        <v>0</v>
      </c>
      <c r="G23">
        <v>40</v>
      </c>
    </row>
    <row r="24" spans="1:7" x14ac:dyDescent="0.25">
      <c r="A24">
        <v>5</v>
      </c>
      <c r="B24">
        <v>11.611</v>
      </c>
      <c r="C24">
        <v>145.32</v>
      </c>
      <c r="D24">
        <v>120</v>
      </c>
      <c r="E24">
        <v>0</v>
      </c>
      <c r="F24">
        <v>0</v>
      </c>
      <c r="G24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계산서</vt:lpstr>
      <vt:lpstr>M-N 곡선</vt:lpstr>
      <vt:lpstr>보 해석</vt:lpstr>
      <vt:lpstr>3D 해석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2026-10-12T15:19:09Z</dcterms:created>
  <dcterms:modified xsi:type="dcterms:W3CDTF">2026-10-12T15:19:09Z</dcterms:modified>
</cp:coreProperties>
</file>